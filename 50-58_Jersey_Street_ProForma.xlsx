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nputs" sheetId="2" state="visible" r:id="rId2"/>
    <sheet name="Building Data" sheetId="3" state="visible" r:id="rId3"/>
    <sheet name="Unit Mix" sheetId="4" state="visible" r:id="rId4"/>
    <sheet name="Affordable" sheetId="5" state="visible" r:id="rId5"/>
    <sheet name="Dev Budget" sheetId="6" state="visible" r:id="rId6"/>
    <sheet name="Operating" sheetId="7" state="visible" r:id="rId7"/>
    <sheet name="Aspire" sheetId="8" state="visible" r:id="rId8"/>
    <sheet name="Waterfall" sheetId="9" state="visible" r:id="rId9"/>
    <sheet name="Tax Implications" sheetId="10" state="visible" r:id="rId10"/>
    <sheet name="Sensitivit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x"/>
    <numFmt numFmtId="165" formatCode="0.0%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b val="1"/>
      <color rgb="001A1A2E"/>
      <sz val="16"/>
    </font>
    <font>
      <name val="Calibri"/>
      <b val="1"/>
      <color rgb="000F3460"/>
      <sz val="12"/>
    </font>
    <font>
      <name val="Calibri"/>
      <i val="1"/>
      <color rgb="00808080"/>
      <sz val="8"/>
    </font>
    <font>
      <name val="Calibri"/>
      <b val="1"/>
      <color rgb="000F3460"/>
      <sz val="11"/>
    </font>
    <font>
      <name val="Calibri"/>
      <color rgb="001A1A2E"/>
      <sz val="10"/>
    </font>
    <font>
      <name val="Calibri"/>
      <b val="1"/>
      <color rgb="001A1A2E"/>
      <sz val="10"/>
    </font>
    <font>
      <name val="Calibri"/>
      <b val="1"/>
      <color rgb="000000CC"/>
      <sz val="10"/>
    </font>
    <font>
      <name val="Calibri"/>
      <b val="1"/>
      <color rgb="00FFFFFF"/>
      <sz val="10"/>
    </font>
    <font>
      <name val="Calibri"/>
      <b val="1"/>
      <color rgb="001A1A2E"/>
      <sz val="11"/>
    </font>
    <font>
      <name val="Calibri"/>
      <b val="1"/>
      <color rgb="001A1A2E"/>
      <sz val="12"/>
    </font>
  </fonts>
  <fills count="7">
    <fill>
      <patternFill/>
    </fill>
    <fill>
      <patternFill patternType="gray125"/>
    </fill>
    <fill>
      <patternFill patternType="solid">
        <fgColor rgb="00E8EEF5"/>
        <bgColor rgb="00E8EEF5"/>
      </patternFill>
    </fill>
    <fill>
      <patternFill patternType="solid">
        <fgColor rgb="00FFFFF0"/>
        <bgColor rgb="00FFFFF0"/>
      </patternFill>
    </fill>
    <fill>
      <patternFill patternType="solid">
        <fgColor rgb="000F3460"/>
        <bgColor rgb="000F3460"/>
      </patternFill>
    </fill>
    <fill>
      <patternFill patternType="solid">
        <fgColor rgb="00E0E0E0"/>
        <bgColor rgb="00E0E0E0"/>
      </patternFill>
    </fill>
    <fill>
      <patternFill patternType="solid">
        <fgColor rgb="00EBF5FB"/>
        <bgColor rgb="00EBF5FB"/>
      </patternFill>
    </fill>
  </fills>
  <borders count="3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  <border>
      <top style="medium">
        <color rgb="001A1A2E"/>
      </top>
      <bottom style="double">
        <color rgb="001A1A2E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3" fontId="6" fillId="0" borderId="1" applyAlignment="1" pivotButton="0" quotePrefix="0" xfId="0">
      <alignment horizontal="right" vertical="center"/>
    </xf>
    <xf numFmtId="10" fontId="6" fillId="0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4" fontId="6" fillId="0" borderId="1" applyAlignment="1" pivotButton="0" quotePrefix="0" xfId="0">
      <alignment horizontal="right" vertical="center"/>
    </xf>
    <xf numFmtId="165" fontId="6" fillId="0" borderId="1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right" vertical="center"/>
    </xf>
    <xf numFmtId="4" fontId="7" fillId="3" borderId="1" applyAlignment="1" pivotButton="0" quotePrefix="0" xfId="0">
      <alignment horizontal="right" vertical="center"/>
    </xf>
    <xf numFmtId="3" fontId="7" fillId="3" borderId="1" applyAlignment="1" pivotButton="0" quotePrefix="0" xfId="0">
      <alignment horizontal="right" vertical="center"/>
    </xf>
    <xf numFmtId="165" fontId="7" fillId="3" borderId="1" applyAlignment="1" pivotButton="0" quotePrefix="0" xfId="0">
      <alignment horizontal="right" vertical="center"/>
    </xf>
    <xf numFmtId="10" fontId="7" fillId="3" borderId="1" applyAlignment="1" pivotButton="0" quotePrefix="0" xfId="0">
      <alignment horizontal="right" vertical="center"/>
    </xf>
    <xf numFmtId="0" fontId="8" fillId="4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right" vertical="center"/>
    </xf>
    <xf numFmtId="0" fontId="9" fillId="5" borderId="2" applyAlignment="1" pivotButton="0" quotePrefix="0" xfId="0">
      <alignment horizontal="left" vertical="center" wrapText="1"/>
    </xf>
    <xf numFmtId="3" fontId="9" fillId="5" borderId="2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 wrapText="1"/>
    </xf>
    <xf numFmtId="165" fontId="5" fillId="0" borderId="1" applyAlignment="1" pivotButton="0" quotePrefix="0" xfId="0">
      <alignment horizontal="right" vertical="center"/>
    </xf>
    <xf numFmtId="4" fontId="5" fillId="0" borderId="1" applyAlignment="1" pivotButton="0" quotePrefix="0" xfId="0">
      <alignment horizontal="right" vertical="center"/>
    </xf>
    <xf numFmtId="165" fontId="9" fillId="5" borderId="2" applyAlignment="1" pivotButton="0" quotePrefix="0" xfId="0">
      <alignment horizontal="right" vertical="center"/>
    </xf>
    <xf numFmtId="4" fontId="9" fillId="5" borderId="2" applyAlignment="1" pivotButton="0" quotePrefix="0" xfId="0">
      <alignment horizontal="right" vertical="center"/>
    </xf>
    <xf numFmtId="3" fontId="6" fillId="6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 vertical="center"/>
    </xf>
    <xf numFmtId="0" fontId="6" fillId="5" borderId="2" applyAlignment="1" pivotButton="0" quotePrefix="0" xfId="0">
      <alignment horizontal="left" vertical="center" wrapText="1"/>
    </xf>
    <xf numFmtId="3" fontId="9" fillId="5" borderId="2" applyAlignment="1" pivotButton="0" quotePrefix="0" xfId="0">
      <alignment horizontal="left" vertical="center" wrapText="1"/>
    </xf>
    <xf numFmtId="3" fontId="6" fillId="5" borderId="2" applyAlignment="1" pivotButton="0" quotePrefix="0" xfId="0">
      <alignment horizontal="right" vertical="center"/>
    </xf>
    <xf numFmtId="3" fontId="10" fillId="5" borderId="2" applyAlignment="1" pivotButton="0" quotePrefix="0" xfId="0">
      <alignment horizontal="left" vertical="center" wrapText="1"/>
    </xf>
    <xf numFmtId="3" fontId="10" fillId="5" borderId="2" applyAlignment="1" pivotButton="0" quotePrefix="0" xfId="0">
      <alignment horizontal="right" vertical="center"/>
    </xf>
    <xf numFmtId="0" fontId="2" fillId="6" borderId="2" applyAlignment="1" pivotButton="0" quotePrefix="0" xfId="0">
      <alignment horizontal="left" vertical="center" wrapText="1"/>
    </xf>
    <xf numFmtId="3" fontId="2" fillId="6" borderId="2" applyAlignment="1" pivotButton="0" quotePrefix="0" xfId="0">
      <alignment horizontal="right" vertical="center"/>
    </xf>
    <xf numFmtId="10" fontId="5" fillId="0" borderId="1" applyAlignment="1" pivotButton="0" quotePrefix="0" xfId="0">
      <alignment horizontal="right" vertical="center"/>
    </xf>
    <xf numFmtId="3" fontId="9" fillId="6" borderId="1" applyAlignment="1" pivotButton="0" quotePrefix="0" xfId="0">
      <alignment horizontal="right" vertical="center"/>
    </xf>
    <xf numFmtId="3" fontId="6" fillId="5" borderId="1" applyAlignment="1" pivotButton="0" quotePrefix="0" xfId="0">
      <alignment horizontal="right" vertical="center"/>
    </xf>
    <xf numFmtId="0" fontId="9" fillId="6" borderId="1" applyAlignment="1" pivotButton="0" quotePrefix="0" xfId="0">
      <alignment horizontal="left" vertical="center" wrapText="1"/>
    </xf>
    <xf numFmtId="0" fontId="9" fillId="6" borderId="2" applyAlignment="1" pivotButton="0" quotePrefix="0" xfId="0">
      <alignment horizontal="left" vertical="center" wrapText="1"/>
    </xf>
    <xf numFmtId="3" fontId="9" fillId="6" borderId="2" applyAlignment="1" pivotButton="0" quotePrefix="0" xfId="0">
      <alignment horizontal="right" vertical="center"/>
    </xf>
    <xf numFmtId="0" fontId="6" fillId="2" borderId="1" applyAlignment="1" pivotButton="0" quotePrefix="0" xfId="0">
      <alignment horizontal="center" vertical="center"/>
    </xf>
    <xf numFmtId="10" fontId="5" fillId="6" borderId="1" applyAlignment="1" pivotButton="0" quotePrefix="0" xfId="0">
      <alignment horizontal="right" vertical="center"/>
    </xf>
    <xf numFmtId="10" fontId="6" fillId="2" borderId="1" applyAlignment="1" pivotButton="0" quotePrefix="0" xfId="0">
      <alignment horizontal="right" vertical="center"/>
    </xf>
    <xf numFmtId="166" fontId="5" fillId="0" borderId="1" applyAlignment="1" pivotButton="0" quotePrefix="0" xfId="0">
      <alignment horizontal="right" vertical="center"/>
    </xf>
    <xf numFmtId="166" fontId="5" fillId="6" borderId="1" applyAlignment="1" pivotButton="0" quotePrefix="0" xfId="0">
      <alignment horizontal="right" vertical="center"/>
    </xf>
    <xf numFmtId="3" fontId="5" fillId="6" borderId="1" applyAlignment="1" pivotButton="0" quotePrefix="0" xfId="0">
      <alignment horizontal="right" vertical="center"/>
    </xf>
    <xf numFmtId="4" fontId="5" fillId="6" borderId="1" applyAlignment="1" pivotButton="0" quotePrefix="0" xfId="0">
      <alignment horizontal="right" vertical="center"/>
    </xf>
    <xf numFmtId="165" fontId="5" fillId="6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F3460"/>
    <outlinePr summaryBelow="1" summaryRight="1"/>
    <pageSetUpPr fitToPage="1"/>
  </sheetPr>
  <dimension ref="B2:I28"/>
  <sheetViews>
    <sheetView workbookViewId="0">
      <selection activeCell="A1" sqref="A1"/>
    </sheetView>
  </sheetViews>
  <sheetFormatPr baseColWidth="8" defaultRowHeight="15"/>
  <cols>
    <col width="3" customWidth="1" min="1" max="1"/>
    <col width="35" customWidth="1" min="2" max="2"/>
    <col width="18" customWidth="1" min="3" max="3"/>
    <col width="5" customWidth="1" min="4" max="4"/>
    <col width="35" customWidth="1" min="5" max="5"/>
    <col width="18" customWidth="1" min="6" max="6"/>
    <col width="5" customWidth="1" min="7" max="7"/>
    <col width="35" customWidth="1" min="8" max="8"/>
    <col width="18" customWidth="1" min="9" max="9"/>
  </cols>
  <sheetData>
    <row r="2">
      <c r="B2" s="1" t="inlineStr">
        <is>
          <t>50-58 JERSEY STREET</t>
        </is>
      </c>
    </row>
    <row r="3">
      <c r="B3" s="2" t="inlineStr">
        <is>
          <t>Newark, New Jersey  |  Mixed-Use Residential Development</t>
        </is>
      </c>
    </row>
    <row r="4">
      <c r="B4" s="3" t="inlineStr">
        <is>
          <t>Pro Forma Summary Dashboard</t>
        </is>
      </c>
    </row>
    <row r="6">
      <c r="B6" s="4" t="inlineStr">
        <is>
          <t>PROJECT OVERVIEW</t>
        </is>
      </c>
      <c r="C6" s="5" t="n"/>
    </row>
    <row r="7">
      <c r="B7" s="6" t="inlineStr">
        <is>
          <t>Total Residential Units</t>
        </is>
      </c>
      <c r="C7" s="7">
        <f>'Inputs'!C12</f>
        <v/>
      </c>
    </row>
    <row r="8">
      <c r="B8" s="6" t="inlineStr">
        <is>
          <t>Market Rate Units</t>
        </is>
      </c>
      <c r="C8" s="7">
        <f>'Inputs'!C13</f>
        <v/>
      </c>
      <c r="E8" s="4" t="inlineStr">
        <is>
          <t>RETURNS SUMMARY</t>
        </is>
      </c>
      <c r="F8" s="5" t="n"/>
      <c r="H8" s="4" t="inlineStr">
        <is>
          <t>REVENUE SUMMARY (STABILIZED)</t>
        </is>
      </c>
      <c r="I8" s="5" t="n"/>
    </row>
    <row r="9">
      <c r="B9" s="6" t="inlineStr">
        <is>
          <t>Affordable Units</t>
        </is>
      </c>
      <c r="C9" s="7">
        <f>'Inputs'!C14</f>
        <v/>
      </c>
      <c r="E9" s="6" t="inlineStr">
        <is>
          <t>Stabilized NOI (Year 3)</t>
        </is>
      </c>
      <c r="F9" s="7">
        <f>'Operating'!N29</f>
        <v/>
      </c>
      <c r="H9" s="6" t="inlineStr">
        <is>
          <t>Market Rate Rental Income</t>
        </is>
      </c>
      <c r="I9" s="7">
        <f>'Operating'!N8</f>
        <v/>
      </c>
    </row>
    <row r="10">
      <c r="B10" s="6" t="inlineStr">
        <is>
          <t>Building GSF</t>
        </is>
      </c>
      <c r="C10" s="7">
        <f>'Inputs'!C8</f>
        <v/>
      </c>
      <c r="E10" s="6" t="inlineStr">
        <is>
          <t>Stabilized Yield on Cost</t>
        </is>
      </c>
      <c r="F10" s="8">
        <f>'Operating'!N30</f>
        <v/>
      </c>
      <c r="H10" s="6" t="inlineStr">
        <is>
          <t>Affordable Rental Income</t>
        </is>
      </c>
      <c r="I10" s="7">
        <f>'Operating'!N9</f>
        <v/>
      </c>
    </row>
    <row r="11">
      <c r="B11" s="6" t="inlineStr">
        <is>
          <t>Residential NSF</t>
        </is>
      </c>
      <c r="C11" s="7">
        <f>'Inputs'!C9</f>
        <v/>
      </c>
      <c r="E11" s="6" t="inlineStr">
        <is>
          <t>Unlevered IRR</t>
        </is>
      </c>
      <c r="F11" s="8">
        <f>'Waterfall'!C58</f>
        <v/>
      </c>
      <c r="H11" s="6" t="inlineStr">
        <is>
          <t>Retail Income</t>
        </is>
      </c>
      <c r="I11" s="7">
        <f>'Operating'!N10</f>
        <v/>
      </c>
    </row>
    <row r="12">
      <c r="B12" s="6" t="inlineStr">
        <is>
          <t>Retail SF</t>
        </is>
      </c>
      <c r="C12" s="7">
        <f>'Inputs'!C10</f>
        <v/>
      </c>
      <c r="E12" s="6" t="inlineStr">
        <is>
          <t>Levered IRR (Project)</t>
        </is>
      </c>
      <c r="F12" s="8">
        <f>'Waterfall'!C59</f>
        <v/>
      </c>
      <c r="H12" s="6" t="inlineStr">
        <is>
          <t>Parking Income</t>
        </is>
      </c>
      <c r="I12" s="7">
        <f>'Operating'!N11</f>
        <v/>
      </c>
    </row>
    <row r="13">
      <c r="B13" s="6" t="inlineStr">
        <is>
          <t>Parking Spaces</t>
        </is>
      </c>
      <c r="C13" s="7">
        <f>'Inputs'!C16</f>
        <v/>
      </c>
      <c r="E13" s="6" t="inlineStr">
        <is>
          <t>Equity Multiple</t>
        </is>
      </c>
      <c r="F13" s="9">
        <f>'Waterfall'!C60</f>
        <v/>
      </c>
      <c r="H13" s="6" t="inlineStr">
        <is>
          <t>Other Income</t>
        </is>
      </c>
      <c r="I13" s="7">
        <f>'Operating'!N12</f>
        <v/>
      </c>
    </row>
    <row r="14">
      <c r="B14" s="6" t="inlineStr">
        <is>
          <t>Number of Floors</t>
        </is>
      </c>
      <c r="C14" s="7">
        <f>'Inputs'!C7</f>
        <v/>
      </c>
      <c r="E14" s="6" t="inlineStr">
        <is>
          <t>Cash-on-Cash (Stabilized)</t>
        </is>
      </c>
      <c r="F14" s="8">
        <f>'Waterfall'!C61</f>
        <v/>
      </c>
      <c r="H14" s="6" t="inlineStr">
        <is>
          <t>Gross Potential Revenue</t>
        </is>
      </c>
      <c r="I14" s="7">
        <f>'Operating'!N13</f>
        <v/>
      </c>
    </row>
    <row r="15">
      <c r="B15" s="6" t="inlineStr">
        <is>
          <t>Site Area (Acres)</t>
        </is>
      </c>
      <c r="C15" s="10">
        <f>'Inputs'!C6</f>
        <v/>
      </c>
      <c r="E15" s="6" t="inlineStr">
        <is>
          <t>Sponsor IRR</t>
        </is>
      </c>
      <c r="F15" s="8">
        <f>'Waterfall'!C63</f>
        <v/>
      </c>
      <c r="H15" s="6" t="inlineStr">
        <is>
          <t>Less: Vacancy &amp; Credit Loss</t>
        </is>
      </c>
      <c r="I15" s="7">
        <f>'Operating'!N15</f>
        <v/>
      </c>
    </row>
    <row r="16">
      <c r="E16" s="6" t="inlineStr">
        <is>
          <t>Sponsor Equity Multiple</t>
        </is>
      </c>
      <c r="F16" s="9">
        <f>'Waterfall'!C64</f>
        <v/>
      </c>
      <c r="H16" s="6" t="inlineStr">
        <is>
          <t>Effective Gross Income</t>
        </is>
      </c>
      <c r="I16" s="7">
        <f>'Operating'!N16</f>
        <v/>
      </c>
    </row>
    <row r="17">
      <c r="B17" s="4" t="inlineStr">
        <is>
          <t>DEVELOPMENT BUDGET</t>
        </is>
      </c>
      <c r="C17" s="5" t="n"/>
      <c r="E17" s="6" t="inlineStr">
        <is>
          <t>LP IRR</t>
        </is>
      </c>
      <c r="F17" s="8">
        <f>'Waterfall'!C65</f>
        <v/>
      </c>
      <c r="H17" s="6" t="inlineStr">
        <is>
          <t>Total Operating Expenses</t>
        </is>
      </c>
      <c r="I17" s="7">
        <f>'Operating'!N27</f>
        <v/>
      </c>
    </row>
    <row r="18">
      <c r="B18" s="6" t="inlineStr">
        <is>
          <t>Land Acquisition</t>
        </is>
      </c>
      <c r="C18" s="7">
        <f>'Dev Budget'!D8</f>
        <v/>
      </c>
      <c r="E18" s="6" t="inlineStr">
        <is>
          <t>LP Equity Multiple</t>
        </is>
      </c>
      <c r="F18" s="9">
        <f>'Waterfall'!C66</f>
        <v/>
      </c>
      <c r="H18" s="6" t="inlineStr">
        <is>
          <t>Net Operating Income</t>
        </is>
      </c>
      <c r="I18" s="7">
        <f>'Operating'!N29</f>
        <v/>
      </c>
    </row>
    <row r="19">
      <c r="B19" s="6" t="inlineStr">
        <is>
          <t>Hard Costs</t>
        </is>
      </c>
      <c r="C19" s="7">
        <f>'Dev Budget'!D18</f>
        <v/>
      </c>
    </row>
    <row r="20">
      <c r="B20" s="6" t="inlineStr">
        <is>
          <t>Soft Costs</t>
        </is>
      </c>
      <c r="C20" s="7">
        <f>'Dev Budget'!D30</f>
        <v/>
      </c>
      <c r="E20" s="4" t="inlineStr">
        <is>
          <t>FINANCING STRUCTURE</t>
        </is>
      </c>
      <c r="F20" s="5" t="n"/>
      <c r="H20" s="4" t="inlineStr">
        <is>
          <t>KEY METRICS</t>
        </is>
      </c>
      <c r="I20" s="5" t="n"/>
    </row>
    <row r="21">
      <c r="B21" s="6" t="inlineStr">
        <is>
          <t>Financing Costs</t>
        </is>
      </c>
      <c r="C21" s="7">
        <f>'Dev Budget'!D40</f>
        <v/>
      </c>
      <c r="E21" s="6" t="inlineStr">
        <is>
          <t>Total Equity Required</t>
        </is>
      </c>
      <c r="F21" s="7">
        <f>'Waterfall'!C10</f>
        <v/>
      </c>
      <c r="H21" s="6" t="inlineStr">
        <is>
          <t>Avg Market Rent / Unit / Mo</t>
        </is>
      </c>
      <c r="I21" s="7">
        <f>'Unit Mix'!H29</f>
        <v/>
      </c>
    </row>
    <row r="22">
      <c r="B22" s="6" t="inlineStr">
        <is>
          <t>Developer Fee</t>
        </is>
      </c>
      <c r="C22" s="7">
        <f>'Dev Budget'!D42</f>
        <v/>
      </c>
      <c r="E22" s="6" t="inlineStr">
        <is>
          <t>Sponsor Equity (GP)</t>
        </is>
      </c>
      <c r="F22" s="7">
        <f>'Waterfall'!C12</f>
        <v/>
      </c>
      <c r="H22" s="6" t="inlineStr">
        <is>
          <t>Avg Market Rent / SF / Mo</t>
        </is>
      </c>
      <c r="I22" s="10">
        <f>'Unit Mix'!I29</f>
        <v/>
      </c>
    </row>
    <row r="23">
      <c r="B23" s="6" t="inlineStr">
        <is>
          <t>Total Development Cost</t>
        </is>
      </c>
      <c r="C23" s="7">
        <f>'Dev Budget'!D44</f>
        <v/>
      </c>
      <c r="E23" s="6" t="inlineStr">
        <is>
          <t>LP Equity</t>
        </is>
      </c>
      <c r="F23" s="7">
        <f>'Waterfall'!C13</f>
        <v/>
      </c>
      <c r="H23" s="6" t="inlineStr">
        <is>
          <t>Avg Affordable Rent / Unit / Mo</t>
        </is>
      </c>
      <c r="I23" s="7">
        <f>'Affordable'!G22</f>
        <v/>
      </c>
    </row>
    <row r="24">
      <c r="B24" s="6" t="inlineStr">
        <is>
          <t>TDC per Unit</t>
        </is>
      </c>
      <c r="C24" s="7">
        <f>'Dev Budget'!E44</f>
        <v/>
      </c>
      <c r="E24" s="6" t="inlineStr">
        <is>
          <t>Permanent Loan Amount</t>
        </is>
      </c>
      <c r="F24" s="7">
        <f>'Waterfall'!C15</f>
        <v/>
      </c>
      <c r="H24" s="6" t="inlineStr">
        <is>
          <t>OpEx per Unit</t>
        </is>
      </c>
      <c r="I24" s="7">
        <f>'Operating'!O27</f>
        <v/>
      </c>
    </row>
    <row r="25">
      <c r="B25" s="6" t="inlineStr">
        <is>
          <t>TDC per GSF</t>
        </is>
      </c>
      <c r="C25" s="10">
        <f>'Dev Budget'!F44</f>
        <v/>
      </c>
      <c r="E25" s="6" t="inlineStr">
        <is>
          <t>Loan-to-Value</t>
        </is>
      </c>
      <c r="F25" s="11">
        <f>'Inputs'!C57</f>
        <v/>
      </c>
      <c r="H25" s="6" t="inlineStr">
        <is>
          <t>OpEx Ratio</t>
        </is>
      </c>
      <c r="I25" s="11">
        <f>'Operating'!P27</f>
        <v/>
      </c>
    </row>
    <row r="26">
      <c r="E26" s="6" t="inlineStr">
        <is>
          <t>DSCR</t>
        </is>
      </c>
      <c r="F26" s="10">
        <f>'Operating'!N31</f>
        <v/>
      </c>
      <c r="H26" s="6" t="inlineStr">
        <is>
          <t>Exit Cap Rate</t>
        </is>
      </c>
      <c r="I26" s="8">
        <f>'Inputs'!C63</f>
        <v/>
      </c>
    </row>
    <row r="27">
      <c r="E27" s="6" t="inlineStr">
        <is>
          <t>Aspire Tax Credits (Total)</t>
        </is>
      </c>
      <c r="F27" s="7">
        <f>'Aspire'!C30</f>
        <v/>
      </c>
      <c r="H27" s="6" t="inlineStr">
        <is>
          <t>Estimated Exit Value (Yr 10)</t>
        </is>
      </c>
      <c r="I27" s="7">
        <f>'Waterfall'!C50</f>
        <v/>
      </c>
    </row>
    <row r="28">
      <c r="E28" s="6" t="inlineStr">
        <is>
          <t>Aspire Credits (Net Proceeds)</t>
        </is>
      </c>
      <c r="F28" s="7">
        <f>'Aspire'!C33</f>
        <v/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2E86C1"/>
    <outlinePr summaryBelow="1" summaryRight="1"/>
    <pageSetUpPr fitToPage="1"/>
  </sheetPr>
  <dimension ref="B2:E1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40" customWidth="1" min="2" max="2"/>
    <col width="20" customWidth="1" min="3" max="3"/>
    <col width="8" customWidth="1" min="4" max="4"/>
    <col width="45" customWidth="1" min="5" max="5"/>
  </cols>
  <sheetData>
    <row r="2">
      <c r="B2" s="1" t="inlineStr">
        <is>
          <t>INPUTS &amp; ASSUMPTIONS</t>
        </is>
      </c>
    </row>
    <row r="3">
      <c r="B3" s="12" t="inlineStr">
        <is>
          <t>Blue bold cells are user-adjustable inputs. All other values are calculated.</t>
        </is>
      </c>
    </row>
    <row r="5">
      <c r="B5" s="4" t="inlineStr">
        <is>
          <t>SITE &amp; BUILDING DATA</t>
        </is>
      </c>
      <c r="C5" s="5" t="n"/>
    </row>
    <row r="6">
      <c r="B6" s="6" t="inlineStr">
        <is>
          <t>Project Name</t>
        </is>
      </c>
      <c r="C6" s="13" t="inlineStr">
        <is>
          <t>50-58 Jersey Street</t>
        </is>
      </c>
      <c r="E6" s="12" t="inlineStr">
        <is>
          <t>User input: Project identifier</t>
        </is>
      </c>
    </row>
    <row r="7">
      <c r="B7" s="6" t="inlineStr">
        <is>
          <t>Site Area (Acres)</t>
        </is>
      </c>
      <c r="C7" s="14" t="n">
        <v>1.17</v>
      </c>
    </row>
    <row r="8">
      <c r="B8" s="6" t="inlineStr">
        <is>
          <t>Number of Floors</t>
        </is>
      </c>
      <c r="C8" s="15" t="n">
        <v>25</v>
      </c>
      <c r="E8" s="12" t="inlineStr">
        <is>
          <t>Excludes amenity roof level</t>
        </is>
      </c>
    </row>
    <row r="9">
      <c r="B9" s="6" t="inlineStr">
        <is>
          <t>Building GSF</t>
        </is>
      </c>
      <c r="C9" s="15" t="n">
        <v>763489</v>
      </c>
    </row>
    <row r="10">
      <c r="B10" s="6" t="inlineStr">
        <is>
          <t>Residential NSF</t>
        </is>
      </c>
      <c r="C10" s="15" t="n">
        <v>525338</v>
      </c>
    </row>
    <row r="11">
      <c r="B11" s="6" t="inlineStr">
        <is>
          <t>Retail Area (SF)</t>
        </is>
      </c>
      <c r="C11" s="15" t="n">
        <v>3474</v>
      </c>
    </row>
    <row r="12">
      <c r="B12" s="6" t="inlineStr">
        <is>
          <t>Amenity Area (SF)</t>
        </is>
      </c>
      <c r="C12" s="15" t="n">
        <v>54813</v>
      </c>
    </row>
    <row r="13">
      <c r="B13" s="6" t="inlineStr">
        <is>
          <t>Total Residential Units</t>
        </is>
      </c>
      <c r="C13" s="15" t="n">
        <v>716</v>
      </c>
      <c r="E13" s="12">
        <f>C13+C14</f>
        <v/>
      </c>
    </row>
    <row r="14">
      <c r="B14" s="6" t="inlineStr">
        <is>
          <t>Market Rate Units</t>
        </is>
      </c>
      <c r="C14" s="15" t="n">
        <v>573</v>
      </c>
    </row>
    <row r="15">
      <c r="B15" s="6" t="inlineStr">
        <is>
          <t>Affordable Units</t>
        </is>
      </c>
      <c r="C15" s="15" t="n">
        <v>143</v>
      </c>
      <c r="E15" s="12" t="inlineStr">
        <is>
          <t>~20% of total</t>
        </is>
      </c>
    </row>
    <row r="16">
      <c r="B16" s="6" t="inlineStr">
        <is>
          <t>Open Space (SF)</t>
        </is>
      </c>
      <c r="C16" s="15" t="n">
        <v>6534</v>
      </c>
    </row>
    <row r="17">
      <c r="B17" s="6" t="inlineStr">
        <is>
          <t>Parking Spaces</t>
        </is>
      </c>
      <c r="C17" s="15" t="n">
        <v>178</v>
      </c>
      <c r="E17" s="12" t="inlineStr">
        <is>
          <t>0.25 spaces/unit ratio</t>
        </is>
      </c>
    </row>
    <row r="18">
      <c r="B18" s="6" t="inlineStr">
        <is>
          <t>Green Wall (SF)</t>
        </is>
      </c>
      <c r="C18" s="15" t="n">
        <v>1500</v>
      </c>
    </row>
    <row r="19">
      <c r="B19" s="6" t="inlineStr">
        <is>
          <t>Average Unit Size (NSF)</t>
        </is>
      </c>
      <c r="C19" s="15" t="n">
        <v>734</v>
      </c>
      <c r="E19" s="12" t="inlineStr">
        <is>
          <t>Blended average</t>
        </is>
      </c>
    </row>
    <row r="21">
      <c r="B21" s="4" t="inlineStr">
        <is>
          <t>MARKET RENT ASSUMPTIONS (Monthly)</t>
        </is>
      </c>
      <c r="C21" s="5" t="n"/>
    </row>
    <row r="22">
      <c r="B22" s="12" t="inlineStr">
        <is>
          <t>Rents based on Newark new construction comps (Downtown/Broad St corridor)</t>
        </is>
      </c>
    </row>
    <row r="23">
      <c r="B23" s="6" t="inlineStr">
        <is>
          <t>Studio Rent (Market)</t>
        </is>
      </c>
      <c r="C23" s="15" t="n">
        <v>1950</v>
      </c>
      <c r="E23" s="12" t="inlineStr">
        <is>
          <t>475 avg SF | $4.11/SF</t>
        </is>
      </c>
    </row>
    <row r="24">
      <c r="B24" s="6" t="inlineStr">
        <is>
          <t>1BR Rent (Market)</t>
        </is>
      </c>
      <c r="C24" s="15" t="n">
        <v>2400</v>
      </c>
      <c r="E24" s="12" t="inlineStr">
        <is>
          <t>675 avg SF | $3.56/SF</t>
        </is>
      </c>
    </row>
    <row r="25">
      <c r="B25" s="6" t="inlineStr">
        <is>
          <t>1BR+Den Rent (Market)</t>
        </is>
      </c>
      <c r="C25" s="15" t="n">
        <v>2700</v>
      </c>
      <c r="E25" s="12" t="inlineStr">
        <is>
          <t>800 avg SF | $3.38/SF</t>
        </is>
      </c>
    </row>
    <row r="26">
      <c r="B26" s="6" t="inlineStr">
        <is>
          <t>2BR Rent (Market)</t>
        </is>
      </c>
      <c r="C26" s="15" t="n">
        <v>3100</v>
      </c>
      <c r="E26" s="12" t="inlineStr">
        <is>
          <t>1,000 avg SF | $3.10/SF</t>
        </is>
      </c>
    </row>
    <row r="27">
      <c r="B27" s="6" t="inlineStr">
        <is>
          <t>3BR Rent (Market)</t>
        </is>
      </c>
      <c r="C27" s="15" t="n">
        <v>3800</v>
      </c>
      <c r="E27" s="12" t="inlineStr">
        <is>
          <t>1,200 avg SF | $3.17/SF</t>
        </is>
      </c>
    </row>
    <row r="29">
      <c r="B29" s="4" t="inlineStr">
        <is>
          <t>AFFORDABLE RENT ASSUMPTIONS (Monthly, 60% AMI)</t>
        </is>
      </c>
      <c r="C29" s="5" t="n"/>
    </row>
    <row r="30">
      <c r="B30" s="12" t="inlineStr">
        <is>
          <t>Based on Essex County HUD FMR limits, 60% AMI. Adjust AMI level on Affordable tab.</t>
        </is>
      </c>
    </row>
    <row r="31">
      <c r="B31" s="6" t="inlineStr">
        <is>
          <t>Studio Rent (Affordable)</t>
        </is>
      </c>
      <c r="C31" s="15" t="n">
        <v>1341</v>
      </c>
      <c r="E31" s="12" t="inlineStr">
        <is>
          <t>60% AMI, Essex County</t>
        </is>
      </c>
    </row>
    <row r="32">
      <c r="B32" s="6" t="inlineStr">
        <is>
          <t>1BR Rent (Affordable)</t>
        </is>
      </c>
      <c r="C32" s="15" t="n">
        <v>1437</v>
      </c>
      <c r="E32" s="12" t="inlineStr">
        <is>
          <t>60% AMI, Essex County</t>
        </is>
      </c>
    </row>
    <row r="33">
      <c r="B33" s="6" t="inlineStr">
        <is>
          <t>2BR Rent (Affordable)</t>
        </is>
      </c>
      <c r="C33" s="15" t="n">
        <v>1723</v>
      </c>
      <c r="E33" s="12" t="inlineStr">
        <is>
          <t>60% AMI, Essex County</t>
        </is>
      </c>
    </row>
    <row r="34">
      <c r="B34" s="6" t="inlineStr">
        <is>
          <t>3BR Rent (Affordable)</t>
        </is>
      </c>
      <c r="C34" s="15" t="n">
        <v>1991</v>
      </c>
      <c r="E34" s="12" t="inlineStr">
        <is>
          <t>60% AMI, Essex County</t>
        </is>
      </c>
    </row>
    <row r="36">
      <c r="B36" s="4" t="inlineStr">
        <is>
          <t>OTHER REVENUE ASSUMPTIONS</t>
        </is>
      </c>
      <c r="C36" s="5" t="n"/>
    </row>
    <row r="37">
      <c r="B37" s="6" t="inlineStr">
        <is>
          <t>Retail Rent ($/SF/Year NNN)</t>
        </is>
      </c>
      <c r="C37" s="15" t="n">
        <v>28</v>
      </c>
      <c r="E37" s="12" t="inlineStr">
        <is>
          <t>Downtown Newark secondary location</t>
        </is>
      </c>
    </row>
    <row r="38">
      <c r="B38" s="6" t="inlineStr">
        <is>
          <t>Parking Revenue ($/Space/Month)</t>
        </is>
      </c>
      <c r="C38" s="15" t="n">
        <v>175</v>
      </c>
      <c r="E38" s="12" t="inlineStr">
        <is>
          <t>Covered structured parking</t>
        </is>
      </c>
    </row>
    <row r="39">
      <c r="B39" s="6" t="inlineStr">
        <is>
          <t>Other Income ($/Unit/Month)</t>
        </is>
      </c>
      <c r="C39" s="15" t="n">
        <v>50</v>
      </c>
      <c r="E39" s="12" t="inlineStr">
        <is>
          <t>Laundry, storage, fees, pets</t>
        </is>
      </c>
    </row>
    <row r="40">
      <c r="B40" s="6" t="inlineStr">
        <is>
          <t>Vacancy &amp; Credit Loss (%)</t>
        </is>
      </c>
      <c r="C40" s="16" t="n">
        <v>0.05</v>
      </c>
      <c r="E40" s="12" t="inlineStr">
        <is>
          <t>5% stabilized; higher during lease-up</t>
        </is>
      </c>
    </row>
    <row r="41">
      <c r="B41" s="6" t="inlineStr">
        <is>
          <t>Annual Rent Growth (Market)</t>
        </is>
      </c>
      <c r="C41" s="16" t="n">
        <v>0.025</v>
      </c>
      <c r="E41" s="12" t="inlineStr">
        <is>
          <t>2.5% annual escalation</t>
        </is>
      </c>
    </row>
    <row r="42">
      <c r="B42" s="6" t="inlineStr">
        <is>
          <t>Annual Rent Growth (Affordable)</t>
        </is>
      </c>
      <c r="C42" s="16" t="n">
        <v>0.02</v>
      </c>
      <c r="E42" s="12" t="inlineStr">
        <is>
          <t>2.0% per HUD adjustments</t>
        </is>
      </c>
    </row>
    <row r="43">
      <c r="B43" s="6" t="inlineStr">
        <is>
          <t>Retail Rent Growth</t>
        </is>
      </c>
      <c r="C43" s="16" t="n">
        <v>0.02</v>
      </c>
      <c r="E43" s="12" t="inlineStr">
        <is>
          <t>2.0% annual escalation</t>
        </is>
      </c>
    </row>
    <row r="44">
      <c r="B44" s="6" t="inlineStr">
        <is>
          <t>Parking Revenue Growth</t>
        </is>
      </c>
      <c r="C44" s="16" t="n">
        <v>0.02</v>
      </c>
      <c r="E44" s="12" t="inlineStr">
        <is>
          <t>2.0% annual escalation</t>
        </is>
      </c>
    </row>
    <row r="46">
      <c r="B46" s="4" t="inlineStr">
        <is>
          <t>OPERATING EXPENSE ASSUMPTIONS (Per Unit/Year)</t>
        </is>
      </c>
      <c r="C46" s="5" t="n"/>
    </row>
    <row r="47">
      <c r="B47" s="6" t="inlineStr">
        <is>
          <t>PILOT / Property Tax (% of Revenue)</t>
        </is>
      </c>
      <c r="C47" s="16" t="n">
        <v>0.125</v>
      </c>
      <c r="E47" s="12" t="inlineStr">
        <is>
          <t>Newark PILOT: 12.5% of gross revenue</t>
        </is>
      </c>
    </row>
    <row r="48">
      <c r="B48" s="6" t="inlineStr">
        <is>
          <t>Insurance ($/Unit/Year)</t>
        </is>
      </c>
      <c r="C48" s="15" t="n">
        <v>1500</v>
      </c>
      <c r="E48" s="12" t="inlineStr">
        <is>
          <t>High-rise premium; escalating ~7%/yr</t>
        </is>
      </c>
    </row>
    <row r="49">
      <c r="B49" s="6" t="inlineStr">
        <is>
          <t>Management Fee (% of EGI)</t>
        </is>
      </c>
      <c r="C49" s="16" t="n">
        <v>0.03</v>
      </c>
      <c r="E49" s="12" t="inlineStr">
        <is>
          <t>3% at scale for 716 units</t>
        </is>
      </c>
    </row>
    <row r="50">
      <c r="B50" s="6" t="inlineStr">
        <is>
          <t>Repairs &amp; Maintenance ($/Unit/Year)</t>
        </is>
      </c>
      <c r="C50" s="15" t="n">
        <v>1000</v>
      </c>
      <c r="E50" s="12" t="inlineStr">
        <is>
          <t>Lower yr 1-5 for new construction</t>
        </is>
      </c>
    </row>
    <row r="51">
      <c r="B51" s="6" t="inlineStr">
        <is>
          <t>Utilities ($/Unit/Year)</t>
        </is>
      </c>
      <c r="C51" s="15" t="n">
        <v>1350</v>
      </c>
      <c r="E51" s="12" t="inlineStr">
        <is>
          <t>Common area &amp; master-metered</t>
        </is>
      </c>
    </row>
    <row r="52">
      <c r="B52" s="6" t="inlineStr">
        <is>
          <t>General &amp; Administrative ($/Unit/Year)</t>
        </is>
      </c>
      <c r="C52" s="15" t="n">
        <v>500</v>
      </c>
      <c r="E52" s="12" t="inlineStr"/>
    </row>
    <row r="53">
      <c r="B53" s="6" t="inlineStr">
        <is>
          <t>Marketing &amp; Turnover ($/Unit/Year)</t>
        </is>
      </c>
      <c r="C53" s="15" t="n">
        <v>400</v>
      </c>
      <c r="E53" s="12" t="inlineStr"/>
    </row>
    <row r="54">
      <c r="B54" s="6" t="inlineStr">
        <is>
          <t>Payroll / On-Site Staff ($/Unit/Year)</t>
        </is>
      </c>
      <c r="C54" s="15" t="n">
        <v>1800</v>
      </c>
      <c r="E54" s="12" t="inlineStr">
        <is>
          <t>Economies of scale at 716 units</t>
        </is>
      </c>
    </row>
    <row r="55">
      <c r="B55" s="6" t="inlineStr">
        <is>
          <t>Replacement Reserves ($/Unit/Year)</t>
        </is>
      </c>
      <c r="C55" s="15" t="n">
        <v>300</v>
      </c>
      <c r="E55" s="12" t="inlineStr"/>
    </row>
    <row r="56">
      <c r="B56" s="6" t="inlineStr">
        <is>
          <t>OpEx Annual Growth Rate</t>
        </is>
      </c>
      <c r="C56" s="16" t="n">
        <v>0.03</v>
      </c>
      <c r="E56" s="12" t="inlineStr">
        <is>
          <t>3% annual inflation</t>
        </is>
      </c>
    </row>
    <row r="58">
      <c r="B58" s="4" t="inlineStr">
        <is>
          <t>DEVELOPMENT COST ASSUMPTIONS</t>
        </is>
      </c>
      <c r="C58" s="5" t="n"/>
    </row>
    <row r="59">
      <c r="B59" s="6" t="inlineStr">
        <is>
          <t>Hard Cost ($/GSF)</t>
        </is>
      </c>
      <c r="C59" s="15" t="n">
        <v>325</v>
      </c>
      <c r="E59" s="12" t="inlineStr">
        <is>
          <t>25-story concrete/steel, union labor, Newark</t>
        </is>
      </c>
    </row>
    <row r="60">
      <c r="B60" s="6" t="inlineStr">
        <is>
          <t>Soft Cost (% of Hard)</t>
        </is>
      </c>
      <c r="C60" s="16" t="n">
        <v>0.25</v>
      </c>
      <c r="E60" s="12" t="inlineStr">
        <is>
          <t>A&amp;E, legal, permits, testing, insurance</t>
        </is>
      </c>
    </row>
    <row r="61">
      <c r="B61" s="6" t="inlineStr">
        <is>
          <t>Hard Cost Contingency (%)</t>
        </is>
      </c>
      <c r="C61" s="16" t="n">
        <v>0.075</v>
      </c>
      <c r="E61" s="12" t="inlineStr">
        <is>
          <t>7.5% of hard costs</t>
        </is>
      </c>
    </row>
    <row r="62">
      <c r="B62" s="6" t="inlineStr">
        <is>
          <t>Soft Cost Contingency (%)</t>
        </is>
      </c>
      <c r="C62" s="16" t="n">
        <v>0.1</v>
      </c>
      <c r="E62" s="12" t="inlineStr">
        <is>
          <t>10% of soft costs</t>
        </is>
      </c>
    </row>
    <row r="63">
      <c r="B63" s="6" t="inlineStr">
        <is>
          <t>Developer Fee (% of TDC)</t>
        </is>
      </c>
      <c r="C63" s="16" t="n">
        <v>0.04</v>
      </c>
      <c r="E63" s="12" t="inlineStr">
        <is>
          <t>4% standard for large-scale</t>
        </is>
      </c>
    </row>
    <row r="64">
      <c r="B64" s="6" t="inlineStr">
        <is>
          <t>Land Acquisition Cost</t>
        </is>
      </c>
      <c r="C64" s="15" t="n">
        <v>25000000</v>
      </c>
      <c r="E64" s="12" t="inlineStr">
        <is>
          <t>Estimated site acquisition</t>
        </is>
      </c>
    </row>
    <row r="66">
      <c r="B66" s="4" t="inlineStr">
        <is>
          <t>FINANCING ASSUMPTIONS</t>
        </is>
      </c>
      <c r="C66" s="5" t="n"/>
    </row>
    <row r="67">
      <c r="B67" s="6" t="inlineStr">
        <is>
          <t>Construction Loan Rate</t>
        </is>
      </c>
      <c r="C67" s="17" t="n">
        <v>0.075</v>
      </c>
      <c r="E67" s="12" t="inlineStr">
        <is>
          <t>Floating rate, interest-only on draws</t>
        </is>
      </c>
    </row>
    <row r="68">
      <c r="B68" s="6" t="inlineStr">
        <is>
          <t>Construction Loan LTC</t>
        </is>
      </c>
      <c r="C68" s="16" t="n">
        <v>0.7</v>
      </c>
      <c r="E68" s="12" t="inlineStr">
        <is>
          <t>70% loan-to-cost</t>
        </is>
      </c>
    </row>
    <row r="69">
      <c r="B69" s="6" t="inlineStr">
        <is>
          <t>Construction Loan Term (Months)</t>
        </is>
      </c>
      <c r="C69" s="15" t="n">
        <v>36</v>
      </c>
      <c r="E69" s="12" t="inlineStr">
        <is>
          <t>30-36 months + extensions</t>
        </is>
      </c>
    </row>
    <row r="70">
      <c r="B70" s="6" t="inlineStr">
        <is>
          <t>Construction Loan Fee</t>
        </is>
      </c>
      <c r="C70" s="16" t="n">
        <v>0.01</v>
      </c>
      <c r="E70" s="12" t="inlineStr">
        <is>
          <t>1% origination</t>
        </is>
      </c>
    </row>
    <row r="71">
      <c r="B71" s="6" t="inlineStr">
        <is>
          <t>Permanent Loan Rate</t>
        </is>
      </c>
      <c r="C71" s="17" t="n">
        <v>0.06</v>
      </c>
      <c r="E71" s="12" t="inlineStr">
        <is>
          <t>Agency/CMBS fixed rate</t>
        </is>
      </c>
    </row>
    <row r="72">
      <c r="B72" s="6" t="inlineStr">
        <is>
          <t>Permanent Loan LTV</t>
        </is>
      </c>
      <c r="C72" s="16" t="n">
        <v>0.75</v>
      </c>
      <c r="E72" s="12" t="inlineStr">
        <is>
          <t>75% loan-to-value</t>
        </is>
      </c>
    </row>
    <row r="73">
      <c r="B73" s="6" t="inlineStr">
        <is>
          <t>Permanent Loan Amortization (Years)</t>
        </is>
      </c>
      <c r="C73" s="15" t="n">
        <v>30</v>
      </c>
      <c r="E73" s="12" t="inlineStr">
        <is>
          <t>30-year amortization</t>
        </is>
      </c>
    </row>
    <row r="74">
      <c r="B74" s="6" t="inlineStr">
        <is>
          <t>Permanent Loan Term (Years)</t>
        </is>
      </c>
      <c r="C74" s="15" t="n">
        <v>10</v>
      </c>
      <c r="E74" s="12" t="inlineStr">
        <is>
          <t>10-year fixed term</t>
        </is>
      </c>
    </row>
    <row r="75">
      <c r="B75" s="6" t="inlineStr">
        <is>
          <t>Minimum DSCR</t>
        </is>
      </c>
      <c r="C75" s="14" t="n">
        <v>1.25</v>
      </c>
      <c r="E75" s="12" t="inlineStr">
        <is>
          <t>Lender minimum coverage ratio</t>
        </is>
      </c>
    </row>
    <row r="77">
      <c r="B77" s="4" t="inlineStr">
        <is>
          <t>EXIT &amp; VALUATION ASSUMPTIONS</t>
        </is>
      </c>
      <c r="C77" s="5" t="n"/>
    </row>
    <row r="78">
      <c r="B78" s="6" t="inlineStr">
        <is>
          <t>Going-In Cap Rate</t>
        </is>
      </c>
      <c r="C78" s="17" t="n">
        <v>0.05</v>
      </c>
      <c r="E78" s="12" t="inlineStr">
        <is>
          <t>Class A new construction, Newark</t>
        </is>
      </c>
    </row>
    <row r="79">
      <c r="B79" s="6" t="inlineStr">
        <is>
          <t>Exit Cap Rate</t>
        </is>
      </c>
      <c r="C79" s="17" t="n">
        <v>0.0525</v>
      </c>
      <c r="E79" s="12" t="inlineStr">
        <is>
          <t>25-50 bps expansion from going-in</t>
        </is>
      </c>
    </row>
    <row r="80">
      <c r="B80" s="6" t="inlineStr">
        <is>
          <t>Holding Period (Years)</t>
        </is>
      </c>
      <c r="C80" s="15" t="n">
        <v>10</v>
      </c>
      <c r="E80" s="12" t="inlineStr">
        <is>
          <t>Analysis period</t>
        </is>
      </c>
    </row>
    <row r="81">
      <c r="B81" s="6" t="inlineStr">
        <is>
          <t>Disposition Costs (% of Sale)</t>
        </is>
      </c>
      <c r="C81" s="16" t="n">
        <v>0.02</v>
      </c>
      <c r="E81" s="12" t="inlineStr">
        <is>
          <t>Broker, legal, transfer tax portion</t>
        </is>
      </c>
    </row>
    <row r="82">
      <c r="B82" s="6" t="inlineStr">
        <is>
          <t>NJ Realty Transfer Fee (%)</t>
        </is>
      </c>
      <c r="C82" s="16" t="n">
        <v>0.041</v>
      </c>
      <c r="E82" s="12" t="inlineStr">
        <is>
          <t>~4.1% for $200M+ sale (incl mansion tax)</t>
        </is>
      </c>
    </row>
    <row r="84">
      <c r="B84" s="4" t="inlineStr">
        <is>
          <t>EQUITY WATERFALL ASSUMPTIONS</t>
        </is>
      </c>
      <c r="C84" s="5" t="n"/>
    </row>
    <row r="85">
      <c r="B85" s="6" t="inlineStr">
        <is>
          <t>Sponsor (GP) Equity Share</t>
        </is>
      </c>
      <c r="C85" s="16" t="n">
        <v>0.5</v>
      </c>
      <c r="E85" s="12" t="inlineStr">
        <is>
          <t>Adjustable GP/LP split</t>
        </is>
      </c>
    </row>
    <row r="86">
      <c r="B86" s="6" t="inlineStr">
        <is>
          <t>LP Equity Share</t>
        </is>
      </c>
      <c r="C86" s="16" t="n">
        <v>0.5</v>
      </c>
      <c r="E86" s="12">
        <f>1 - GP Share</f>
        <v/>
      </c>
    </row>
    <row r="87">
      <c r="B87" s="6" t="inlineStr">
        <is>
          <t>Preferred Return (Annual)</t>
        </is>
      </c>
      <c r="C87" s="16" t="n">
        <v>0.08</v>
      </c>
      <c r="E87" s="12" t="inlineStr">
        <is>
          <t>8% cumulative preferred</t>
        </is>
      </c>
    </row>
    <row r="88">
      <c r="B88" s="6" t="inlineStr">
        <is>
          <t>Tier 1 Promote (above pref, to 12% IRR)</t>
        </is>
      </c>
      <c r="C88" s="16" t="n">
        <v>0.2</v>
      </c>
      <c r="E88" s="12" t="inlineStr">
        <is>
          <t>80/20 LP/GP split</t>
        </is>
      </c>
    </row>
    <row r="89">
      <c r="B89" s="6" t="inlineStr">
        <is>
          <t>Tier 2 Promote (above 12% IRR, to 18%)</t>
        </is>
      </c>
      <c r="C89" s="16" t="n">
        <v>0.3</v>
      </c>
      <c r="E89" s="12" t="inlineStr">
        <is>
          <t>70/30 LP/GP split</t>
        </is>
      </c>
    </row>
    <row r="90">
      <c r="B90" s="6" t="inlineStr">
        <is>
          <t>Tier 3 Promote (above 18% IRR)</t>
        </is>
      </c>
      <c r="C90" s="16" t="n">
        <v>0.4</v>
      </c>
      <c r="E90" s="12" t="inlineStr">
        <is>
          <t>60/40 LP/GP split</t>
        </is>
      </c>
    </row>
    <row r="92">
      <c r="B92" s="4" t="inlineStr">
        <is>
          <t>LEASE-UP ASSUMPTIONS</t>
        </is>
      </c>
      <c r="C92" s="5" t="n"/>
    </row>
    <row r="93">
      <c r="B93" s="6" t="inlineStr">
        <is>
          <t>Lease-Up Period (Months)</t>
        </is>
      </c>
      <c r="C93" s="15" t="n">
        <v>18</v>
      </c>
      <c r="E93" s="12" t="inlineStr">
        <is>
          <t>15-20 units/month absorption</t>
        </is>
      </c>
    </row>
    <row r="94">
      <c r="B94" s="6" t="inlineStr">
        <is>
          <t>Absorption Rate (Units/Month)</t>
        </is>
      </c>
      <c r="C94" s="15" t="n">
        <v>40</v>
      </c>
      <c r="E94" s="12" t="inlineStr"/>
    </row>
    <row r="95">
      <c r="B95" s="6" t="inlineStr">
        <is>
          <t>Lease-Up Concessions (Months Free)</t>
        </is>
      </c>
      <c r="C95" s="15" t="n">
        <v>1</v>
      </c>
      <c r="E95" s="12" t="inlineStr">
        <is>
          <t>1 month free on new leases</t>
        </is>
      </c>
    </row>
    <row r="96">
      <c r="B96" s="6" t="inlineStr">
        <is>
          <t>Year 1 Occupancy (%)</t>
        </is>
      </c>
      <c r="C96" s="16" t="n">
        <v>0.4</v>
      </c>
      <c r="E96" s="12" t="inlineStr">
        <is>
          <t>Mid-construction / early lease-up</t>
        </is>
      </c>
    </row>
    <row r="97">
      <c r="B97" s="6" t="inlineStr">
        <is>
          <t>Year 2 Occupancy (%)</t>
        </is>
      </c>
      <c r="C97" s="16" t="n">
        <v>0.85</v>
      </c>
      <c r="E97" s="12" t="inlineStr">
        <is>
          <t>Substantial lease-up</t>
        </is>
      </c>
    </row>
    <row r="98">
      <c r="B98" s="6" t="inlineStr">
        <is>
          <t>Year 3+ Occupancy (%)</t>
        </is>
      </c>
      <c r="C98" s="16" t="n">
        <v>0.95</v>
      </c>
      <c r="E98" s="12" t="inlineStr">
        <is>
          <t>Stabilized occupancy</t>
        </is>
      </c>
    </row>
    <row r="100">
      <c r="B100" s="4" t="inlineStr">
        <is>
          <t>ASPIRE TAX CREDIT ASSUMPTIONS</t>
        </is>
      </c>
      <c r="C100" s="5" t="n"/>
    </row>
    <row r="101">
      <c r="B101" s="6" t="inlineStr">
        <is>
          <t>Aspire Credit (% of Eligible Costs)</t>
        </is>
      </c>
      <c r="C101" s="16" t="n">
        <v>0.45</v>
      </c>
      <c r="E101" s="12" t="inlineStr">
        <is>
          <t>Up to 60% for Newark Enhanced Area</t>
        </is>
      </c>
    </row>
    <row r="102">
      <c r="B102" s="6" t="inlineStr">
        <is>
          <t>Aspire Per-Project Cap</t>
        </is>
      </c>
      <c r="C102" s="15" t="n">
        <v>90000000</v>
      </c>
      <c r="E102" s="12" t="inlineStr">
        <is>
          <t>$90M max for Enhanced Area</t>
        </is>
      </c>
    </row>
    <row r="103">
      <c r="B103" s="6" t="inlineStr">
        <is>
          <t>Credit Duration (Years)</t>
        </is>
      </c>
      <c r="C103" s="15" t="n">
        <v>10</v>
      </c>
      <c r="E103" s="12" t="inlineStr">
        <is>
          <t>Equal annual installments</t>
        </is>
      </c>
    </row>
    <row r="104">
      <c r="B104" s="6" t="inlineStr">
        <is>
          <t>Credit Sale Discount Rate</t>
        </is>
      </c>
      <c r="C104" s="16" t="n">
        <v>0.88</v>
      </c>
      <c r="E104" s="12" t="inlineStr">
        <is>
          <t>85-92 cents on dollar</t>
        </is>
      </c>
    </row>
    <row r="105">
      <c r="B105" s="6" t="inlineStr">
        <is>
          <t>Eligible Cost Soft Cap (%)</t>
        </is>
      </c>
      <c r="C105" s="16" t="n">
        <v>0.2</v>
      </c>
      <c r="E105" s="12" t="inlineStr">
        <is>
          <t>Soft costs capped at 20% of total</t>
        </is>
      </c>
    </row>
    <row r="107">
      <c r="B107" s="4" t="inlineStr">
        <is>
          <t>TIMELINE</t>
        </is>
      </c>
      <c r="C107" s="5" t="n"/>
    </row>
    <row r="108">
      <c r="B108" s="6" t="inlineStr">
        <is>
          <t>Pre-Development (Months)</t>
        </is>
      </c>
      <c r="C108" s="15" t="n">
        <v>15</v>
      </c>
      <c r="E108" s="12" t="inlineStr">
        <is>
          <t>Entitlements, PILOT, zoning</t>
        </is>
      </c>
    </row>
    <row r="109">
      <c r="B109" s="6" t="inlineStr">
        <is>
          <t>Construction Period (Months)</t>
        </is>
      </c>
      <c r="C109" s="15" t="n">
        <v>33</v>
      </c>
      <c r="E109" s="12" t="inlineStr">
        <is>
          <t>25-story high-rise</t>
        </is>
      </c>
    </row>
    <row r="110">
      <c r="B110" s="6" t="inlineStr">
        <is>
          <t>Lease-Up to Stabilization (Months)</t>
        </is>
      </c>
      <c r="C110" s="15" t="n">
        <v>18</v>
      </c>
      <c r="E110" s="12" t="inlineStr"/>
    </row>
    <row r="111">
      <c r="B111" s="6" t="inlineStr">
        <is>
          <t>Total Timeline (Months)</t>
        </is>
      </c>
      <c r="C111" s="15" t="n">
        <v>66</v>
      </c>
      <c r="E111" s="12">
        <f>pre-dev + construction + lease-up</f>
        <v/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1ABC9C"/>
    <outlinePr summaryBelow="1" summaryRight="1"/>
    <pageSetUpPr fitToPage="1"/>
  </sheetPr>
  <dimension ref="B2:P4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  <col width="16" customWidth="1" min="8" max="8"/>
    <col width="16" customWidth="1" min="9" max="9"/>
    <col width="14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2">
      <c r="B2" s="1" t="inlineStr">
        <is>
          <t>BUILDING DATA - FLOOR-BY-FLOOR BREAKDOWN</t>
        </is>
      </c>
    </row>
    <row r="4">
      <c r="B4" s="18" t="inlineStr">
        <is>
          <t>Floor</t>
        </is>
      </c>
      <c r="C4" s="18" t="inlineStr">
        <is>
          <t>Total GSF</t>
        </is>
      </c>
      <c r="D4" s="18" t="inlineStr">
        <is>
          <t>Parking GSF</t>
        </is>
      </c>
      <c r="E4" s="18" t="inlineStr">
        <is>
          <t>Garage Spaces</t>
        </is>
      </c>
      <c r="F4" s="18" t="inlineStr">
        <is>
          <t>Services</t>
        </is>
      </c>
      <c r="G4" s="18" t="inlineStr">
        <is>
          <t>Retail GSF</t>
        </is>
      </c>
      <c r="H4" s="18" t="inlineStr">
        <is>
          <t>Mechanical</t>
        </is>
      </c>
      <c r="I4" s="18" t="inlineStr">
        <is>
          <t>Outdoor Amenity</t>
        </is>
      </c>
      <c r="J4" s="18" t="inlineStr">
        <is>
          <t>Lobby/Amenity GSF</t>
        </is>
      </c>
      <c r="K4" s="18" t="inlineStr">
        <is>
          <t>Residential GSF</t>
        </is>
      </c>
      <c r="L4" s="18" t="inlineStr">
        <is>
          <t>Net Residential</t>
        </is>
      </c>
      <c r="M4" s="18" t="inlineStr">
        <is>
          <t>Studios</t>
        </is>
      </c>
      <c r="N4" s="18" t="inlineStr">
        <is>
          <t>1BR</t>
        </is>
      </c>
      <c r="O4" s="18" t="inlineStr">
        <is>
          <t>1BR+D</t>
        </is>
      </c>
      <c r="P4" s="18" t="inlineStr">
        <is>
          <t>2BR</t>
        </is>
      </c>
    </row>
    <row r="5">
      <c r="B5" s="6" t="inlineStr">
        <is>
          <t>Ground Floor</t>
        </is>
      </c>
      <c r="C5" s="19" t="n">
        <v>34787</v>
      </c>
      <c r="D5" s="19" t="n">
        <v>11164</v>
      </c>
      <c r="E5" s="19" t="n">
        <v>9</v>
      </c>
      <c r="F5" s="19" t="n">
        <v>1948</v>
      </c>
      <c r="G5" s="19" t="n">
        <v>3474</v>
      </c>
      <c r="H5" s="19" t="n">
        <v>3638</v>
      </c>
      <c r="I5" s="19" t="n">
        <v>0</v>
      </c>
      <c r="J5" s="19" t="n">
        <v>14513</v>
      </c>
      <c r="K5" s="19" t="n">
        <v>0</v>
      </c>
      <c r="L5" s="19" t="n">
        <v>0</v>
      </c>
      <c r="M5" s="19" t="n">
        <v>0</v>
      </c>
      <c r="N5" s="19" t="n">
        <v>0</v>
      </c>
      <c r="O5" s="19" t="n">
        <v>0</v>
      </c>
      <c r="P5" s="19" t="n">
        <v>0</v>
      </c>
    </row>
    <row r="6">
      <c r="B6" s="6" t="inlineStr">
        <is>
          <t>2nd Floor</t>
        </is>
      </c>
      <c r="C6" s="19" t="n">
        <v>40569</v>
      </c>
      <c r="D6" s="19" t="n">
        <v>40569</v>
      </c>
      <c r="E6" s="19" t="n">
        <v>89</v>
      </c>
      <c r="F6" s="19" t="n">
        <v>0</v>
      </c>
      <c r="G6" s="19" t="n">
        <v>0</v>
      </c>
      <c r="H6" s="19" t="n">
        <v>0</v>
      </c>
      <c r="I6" s="19" t="n">
        <v>0</v>
      </c>
      <c r="J6" s="19" t="n">
        <v>0</v>
      </c>
      <c r="K6" s="19" t="n">
        <v>0</v>
      </c>
      <c r="L6" s="19" t="n">
        <v>0</v>
      </c>
      <c r="M6" s="19" t="n">
        <v>0</v>
      </c>
      <c r="N6" s="19" t="n">
        <v>0</v>
      </c>
      <c r="O6" s="19" t="n">
        <v>0</v>
      </c>
      <c r="P6" s="19" t="n">
        <v>0</v>
      </c>
    </row>
    <row r="7">
      <c r="B7" s="6" t="inlineStr">
        <is>
          <t>2.5 Floor</t>
        </is>
      </c>
      <c r="C7" s="19" t="n">
        <v>29711</v>
      </c>
      <c r="D7" s="19" t="n">
        <v>29711</v>
      </c>
      <c r="E7" s="19" t="n">
        <v>80</v>
      </c>
      <c r="F7" s="19" t="n">
        <v>0</v>
      </c>
      <c r="G7" s="19" t="n">
        <v>0</v>
      </c>
      <c r="H7" s="19" t="n">
        <v>0</v>
      </c>
      <c r="I7" s="19" t="n">
        <v>0</v>
      </c>
      <c r="J7" s="19" t="n">
        <v>0</v>
      </c>
      <c r="K7" s="19" t="n">
        <v>0</v>
      </c>
      <c r="L7" s="19" t="n">
        <v>0</v>
      </c>
      <c r="M7" s="19" t="n">
        <v>0</v>
      </c>
      <c r="N7" s="19" t="n">
        <v>0</v>
      </c>
      <c r="O7" s="19" t="n">
        <v>0</v>
      </c>
      <c r="P7" s="19" t="n">
        <v>0</v>
      </c>
    </row>
    <row r="8">
      <c r="B8" s="6" t="inlineStr">
        <is>
          <t>3rd Floor</t>
        </is>
      </c>
      <c r="C8" s="19" t="n">
        <v>30535</v>
      </c>
      <c r="D8" s="19" t="n">
        <v>0</v>
      </c>
      <c r="E8" s="19" t="n">
        <v>0</v>
      </c>
      <c r="F8" s="19" t="n">
        <v>0</v>
      </c>
      <c r="G8" s="19" t="n">
        <v>0</v>
      </c>
      <c r="H8" s="19" t="n">
        <v>0</v>
      </c>
      <c r="I8" s="19" t="n">
        <v>9421</v>
      </c>
      <c r="J8" s="19" t="n">
        <v>30578</v>
      </c>
      <c r="K8" s="19" t="n">
        <v>0</v>
      </c>
      <c r="L8" s="19" t="n">
        <v>0</v>
      </c>
      <c r="M8" s="19" t="n">
        <v>0</v>
      </c>
      <c r="N8" s="19" t="n">
        <v>0</v>
      </c>
      <c r="O8" s="19" t="n">
        <v>0</v>
      </c>
      <c r="P8" s="19" t="n">
        <v>0</v>
      </c>
    </row>
    <row r="9">
      <c r="B9" s="6" t="inlineStr">
        <is>
          <t>4th Floor</t>
        </is>
      </c>
      <c r="C9" s="19" t="n">
        <v>28342</v>
      </c>
      <c r="D9" s="19" t="n">
        <v>0</v>
      </c>
      <c r="E9" s="19" t="n">
        <v>0</v>
      </c>
      <c r="F9" s="19" t="n">
        <v>0</v>
      </c>
      <c r="G9" s="19" t="n">
        <v>0</v>
      </c>
      <c r="H9" s="19" t="n">
        <v>0</v>
      </c>
      <c r="I9" s="19" t="n">
        <v>0</v>
      </c>
      <c r="J9" s="19" t="n">
        <v>0</v>
      </c>
      <c r="K9" s="19" t="n">
        <v>28342</v>
      </c>
      <c r="L9" s="19" t="n">
        <v>24305</v>
      </c>
      <c r="M9" s="19" t="n">
        <v>7</v>
      </c>
      <c r="N9" s="19" t="n">
        <v>4</v>
      </c>
      <c r="O9" s="19" t="n">
        <v>12</v>
      </c>
      <c r="P9" s="19" t="n">
        <v>3</v>
      </c>
    </row>
    <row r="10">
      <c r="B10" s="6" t="inlineStr">
        <is>
          <t>5th Floor</t>
        </is>
      </c>
      <c r="C10" s="19" t="n">
        <v>28342</v>
      </c>
      <c r="D10" s="19" t="n">
        <v>0</v>
      </c>
      <c r="E10" s="19" t="n">
        <v>0</v>
      </c>
      <c r="F10" s="19" t="n">
        <v>0</v>
      </c>
      <c r="G10" s="19" t="n">
        <v>0</v>
      </c>
      <c r="H10" s="19" t="n">
        <v>0</v>
      </c>
      <c r="I10" s="19" t="n">
        <v>0</v>
      </c>
      <c r="J10" s="19" t="n">
        <v>0</v>
      </c>
      <c r="K10" s="19" t="n">
        <v>28342</v>
      </c>
      <c r="L10" s="19" t="n">
        <v>24305</v>
      </c>
      <c r="M10" s="19" t="n">
        <v>7</v>
      </c>
      <c r="N10" s="19" t="n">
        <v>4</v>
      </c>
      <c r="O10" s="19" t="n">
        <v>12</v>
      </c>
      <c r="P10" s="19" t="n">
        <v>3</v>
      </c>
    </row>
    <row r="11">
      <c r="B11" s="6" t="inlineStr">
        <is>
          <t>6th Floor</t>
        </is>
      </c>
      <c r="C11" s="19" t="n">
        <v>28342</v>
      </c>
      <c r="D11" s="19" t="n">
        <v>0</v>
      </c>
      <c r="E11" s="19" t="n">
        <v>0</v>
      </c>
      <c r="F11" s="19" t="n">
        <v>0</v>
      </c>
      <c r="G11" s="19" t="n">
        <v>0</v>
      </c>
      <c r="H11" s="19" t="n">
        <v>0</v>
      </c>
      <c r="I11" s="19" t="n">
        <v>0</v>
      </c>
      <c r="J11" s="19" t="n">
        <v>0</v>
      </c>
      <c r="K11" s="19" t="n">
        <v>28342</v>
      </c>
      <c r="L11" s="19" t="n">
        <v>24305</v>
      </c>
      <c r="M11" s="19" t="n">
        <v>7</v>
      </c>
      <c r="N11" s="19" t="n">
        <v>4</v>
      </c>
      <c r="O11" s="19" t="n">
        <v>12</v>
      </c>
      <c r="P11" s="19" t="n">
        <v>3</v>
      </c>
    </row>
    <row r="12">
      <c r="B12" s="6" t="inlineStr">
        <is>
          <t>7th Floor</t>
        </is>
      </c>
      <c r="C12" s="19" t="n">
        <v>28342</v>
      </c>
      <c r="D12" s="19" t="n">
        <v>0</v>
      </c>
      <c r="E12" s="19" t="n">
        <v>0</v>
      </c>
      <c r="F12" s="19" t="n">
        <v>0</v>
      </c>
      <c r="G12" s="19" t="n">
        <v>0</v>
      </c>
      <c r="H12" s="19" t="n">
        <v>0</v>
      </c>
      <c r="I12" s="19" t="n">
        <v>0</v>
      </c>
      <c r="J12" s="19" t="n">
        <v>0</v>
      </c>
      <c r="K12" s="19" t="n">
        <v>28342</v>
      </c>
      <c r="L12" s="19" t="n">
        <v>24305</v>
      </c>
      <c r="M12" s="19" t="n">
        <v>7</v>
      </c>
      <c r="N12" s="19" t="n">
        <v>4</v>
      </c>
      <c r="O12" s="19" t="n">
        <v>12</v>
      </c>
      <c r="P12" s="19" t="n">
        <v>3</v>
      </c>
    </row>
    <row r="13">
      <c r="B13" s="6" t="inlineStr">
        <is>
          <t>8th Floor</t>
        </is>
      </c>
      <c r="C13" s="19" t="n">
        <v>28342</v>
      </c>
      <c r="D13" s="19" t="n">
        <v>0</v>
      </c>
      <c r="E13" s="19" t="n">
        <v>0</v>
      </c>
      <c r="F13" s="19" t="n">
        <v>0</v>
      </c>
      <c r="G13" s="19" t="n">
        <v>0</v>
      </c>
      <c r="H13" s="19" t="n">
        <v>0</v>
      </c>
      <c r="I13" s="19" t="n">
        <v>0</v>
      </c>
      <c r="J13" s="19" t="n">
        <v>0</v>
      </c>
      <c r="K13" s="19" t="n">
        <v>28342</v>
      </c>
      <c r="L13" s="19" t="n">
        <v>24305</v>
      </c>
      <c r="M13" s="19" t="n">
        <v>7</v>
      </c>
      <c r="N13" s="19" t="n">
        <v>4</v>
      </c>
      <c r="O13" s="19" t="n">
        <v>12</v>
      </c>
      <c r="P13" s="19" t="n">
        <v>3</v>
      </c>
    </row>
    <row r="14">
      <c r="B14" s="6" t="inlineStr">
        <is>
          <t>9th Floor</t>
        </is>
      </c>
      <c r="C14" s="19" t="n">
        <v>28342</v>
      </c>
      <c r="D14" s="19" t="n">
        <v>0</v>
      </c>
      <c r="E14" s="19" t="n">
        <v>0</v>
      </c>
      <c r="F14" s="19" t="n">
        <v>0</v>
      </c>
      <c r="G14" s="19" t="n">
        <v>0</v>
      </c>
      <c r="H14" s="19" t="n">
        <v>0</v>
      </c>
      <c r="I14" s="19" t="n">
        <v>0</v>
      </c>
      <c r="J14" s="19" t="n">
        <v>0</v>
      </c>
      <c r="K14" s="19" t="n">
        <v>28342</v>
      </c>
      <c r="L14" s="19" t="n">
        <v>24305</v>
      </c>
      <c r="M14" s="19" t="n">
        <v>7</v>
      </c>
      <c r="N14" s="19" t="n">
        <v>4</v>
      </c>
      <c r="O14" s="19" t="n">
        <v>12</v>
      </c>
      <c r="P14" s="19" t="n">
        <v>3</v>
      </c>
    </row>
    <row r="15">
      <c r="B15" s="6" t="inlineStr">
        <is>
          <t>10th Floor</t>
        </is>
      </c>
      <c r="C15" s="19" t="n">
        <v>27745</v>
      </c>
      <c r="D15" s="19" t="n">
        <v>0</v>
      </c>
      <c r="E15" s="19" t="n">
        <v>0</v>
      </c>
      <c r="F15" s="19" t="n">
        <v>0</v>
      </c>
      <c r="G15" s="19" t="n">
        <v>0</v>
      </c>
      <c r="H15" s="19" t="n">
        <v>0</v>
      </c>
      <c r="I15" s="19" t="n">
        <v>0</v>
      </c>
      <c r="J15" s="19" t="n">
        <v>0</v>
      </c>
      <c r="K15" s="19" t="n">
        <v>27745</v>
      </c>
      <c r="L15" s="19" t="n">
        <v>23723</v>
      </c>
      <c r="M15" s="19" t="n">
        <v>6</v>
      </c>
      <c r="N15" s="19" t="n">
        <v>2</v>
      </c>
      <c r="O15" s="19" t="n">
        <v>13</v>
      </c>
      <c r="P15" s="19" t="n">
        <v>2</v>
      </c>
    </row>
    <row r="16">
      <c r="B16" s="6" t="inlineStr">
        <is>
          <t>11th Floor</t>
        </is>
      </c>
      <c r="C16" s="19" t="n">
        <v>27745</v>
      </c>
      <c r="D16" s="19" t="n">
        <v>0</v>
      </c>
      <c r="E16" s="19" t="n">
        <v>0</v>
      </c>
      <c r="F16" s="19" t="n">
        <v>0</v>
      </c>
      <c r="G16" s="19" t="n">
        <v>0</v>
      </c>
      <c r="H16" s="19" t="n">
        <v>0</v>
      </c>
      <c r="I16" s="19" t="n">
        <v>0</v>
      </c>
      <c r="J16" s="19" t="n">
        <v>0</v>
      </c>
      <c r="K16" s="19" t="n">
        <v>27745</v>
      </c>
      <c r="L16" s="19" t="n">
        <v>23723</v>
      </c>
      <c r="M16" s="19" t="n">
        <v>8</v>
      </c>
      <c r="N16" s="19" t="n">
        <v>0</v>
      </c>
      <c r="O16" s="19" t="n">
        <v>13</v>
      </c>
      <c r="P16" s="19" t="n">
        <v>2</v>
      </c>
    </row>
    <row r="17">
      <c r="B17" s="6" t="inlineStr">
        <is>
          <t>12th Floor</t>
        </is>
      </c>
      <c r="C17" s="19" t="n">
        <v>27745</v>
      </c>
      <c r="D17" s="19" t="n">
        <v>0</v>
      </c>
      <c r="E17" s="19" t="n">
        <v>0</v>
      </c>
      <c r="F17" s="19" t="n">
        <v>0</v>
      </c>
      <c r="G17" s="19" t="n">
        <v>0</v>
      </c>
      <c r="H17" s="19" t="n">
        <v>0</v>
      </c>
      <c r="I17" s="19" t="n">
        <v>0</v>
      </c>
      <c r="J17" s="19" t="n">
        <v>0</v>
      </c>
      <c r="K17" s="19" t="n">
        <v>27745</v>
      </c>
      <c r="L17" s="19" t="n">
        <v>23723</v>
      </c>
      <c r="M17" s="19" t="n">
        <v>7</v>
      </c>
      <c r="N17" s="19" t="n">
        <v>1</v>
      </c>
      <c r="O17" s="19" t="n">
        <v>13</v>
      </c>
      <c r="P17" s="19" t="n">
        <v>2</v>
      </c>
    </row>
    <row r="18">
      <c r="B18" s="6" t="inlineStr">
        <is>
          <t>13th Floor</t>
        </is>
      </c>
      <c r="C18" s="19" t="n">
        <v>27745</v>
      </c>
      <c r="D18" s="19" t="n">
        <v>0</v>
      </c>
      <c r="E18" s="19" t="n">
        <v>0</v>
      </c>
      <c r="F18" s="19" t="n">
        <v>0</v>
      </c>
      <c r="G18" s="19" t="n">
        <v>0</v>
      </c>
      <c r="H18" s="19" t="n">
        <v>0</v>
      </c>
      <c r="I18" s="19" t="n">
        <v>0</v>
      </c>
      <c r="J18" s="19" t="n">
        <v>0</v>
      </c>
      <c r="K18" s="19" t="n">
        <v>27745</v>
      </c>
      <c r="L18" s="19" t="n">
        <v>23718</v>
      </c>
      <c r="M18" s="19" t="n">
        <v>8</v>
      </c>
      <c r="N18" s="19" t="n">
        <v>0</v>
      </c>
      <c r="O18" s="19" t="n">
        <v>13</v>
      </c>
      <c r="P18" s="19" t="n">
        <v>2</v>
      </c>
    </row>
    <row r="19">
      <c r="B19" s="6" t="inlineStr">
        <is>
          <t>14th Floor</t>
        </is>
      </c>
      <c r="C19" s="19" t="n">
        <v>27745</v>
      </c>
      <c r="D19" s="19" t="n">
        <v>0</v>
      </c>
      <c r="E19" s="19" t="n">
        <v>0</v>
      </c>
      <c r="F19" s="19" t="n">
        <v>0</v>
      </c>
      <c r="G19" s="19" t="n">
        <v>0</v>
      </c>
      <c r="H19" s="19" t="n">
        <v>0</v>
      </c>
      <c r="I19" s="19" t="n">
        <v>0</v>
      </c>
      <c r="J19" s="19" t="n">
        <v>0</v>
      </c>
      <c r="K19" s="19" t="n">
        <v>27745</v>
      </c>
      <c r="L19" s="19" t="n">
        <v>23718</v>
      </c>
      <c r="M19" s="19" t="n">
        <v>8</v>
      </c>
      <c r="N19" s="19" t="n">
        <v>0</v>
      </c>
      <c r="O19" s="19" t="n">
        <v>13</v>
      </c>
      <c r="P19" s="19" t="n">
        <v>2</v>
      </c>
    </row>
    <row r="20">
      <c r="B20" s="6" t="inlineStr">
        <is>
          <t>15th Floor</t>
        </is>
      </c>
      <c r="C20" s="19" t="n">
        <v>27745</v>
      </c>
      <c r="D20" s="19" t="n">
        <v>0</v>
      </c>
      <c r="E20" s="19" t="n">
        <v>0</v>
      </c>
      <c r="F20" s="19" t="n">
        <v>0</v>
      </c>
      <c r="G20" s="19" t="n">
        <v>0</v>
      </c>
      <c r="H20" s="19" t="n">
        <v>0</v>
      </c>
      <c r="I20" s="19" t="n">
        <v>0</v>
      </c>
      <c r="J20" s="19" t="n">
        <v>0</v>
      </c>
      <c r="K20" s="19" t="n">
        <v>27745</v>
      </c>
      <c r="L20" s="19" t="n">
        <v>23718</v>
      </c>
      <c r="M20" s="19" t="n">
        <v>8</v>
      </c>
      <c r="N20" s="19" t="n">
        <v>0</v>
      </c>
      <c r="O20" s="19" t="n">
        <v>13</v>
      </c>
      <c r="P20" s="19" t="n">
        <v>2</v>
      </c>
    </row>
    <row r="21">
      <c r="B21" s="6" t="inlineStr">
        <is>
          <t>16th Floor</t>
        </is>
      </c>
      <c r="C21" s="19" t="n">
        <v>27745</v>
      </c>
      <c r="D21" s="19" t="n">
        <v>0</v>
      </c>
      <c r="E21" s="19" t="n">
        <v>0</v>
      </c>
      <c r="F21" s="19" t="n">
        <v>0</v>
      </c>
      <c r="G21" s="19" t="n">
        <v>0</v>
      </c>
      <c r="H21" s="19" t="n">
        <v>0</v>
      </c>
      <c r="I21" s="19" t="n">
        <v>0</v>
      </c>
      <c r="J21" s="19" t="n">
        <v>0</v>
      </c>
      <c r="K21" s="19" t="n">
        <v>27745</v>
      </c>
      <c r="L21" s="19" t="n">
        <v>23718</v>
      </c>
      <c r="M21" s="19" t="n">
        <v>8</v>
      </c>
      <c r="N21" s="19" t="n">
        <v>0</v>
      </c>
      <c r="O21" s="19" t="n">
        <v>13</v>
      </c>
      <c r="P21" s="19" t="n">
        <v>2</v>
      </c>
    </row>
    <row r="22">
      <c r="B22" s="6" t="inlineStr">
        <is>
          <t>17th Floor</t>
        </is>
      </c>
      <c r="C22" s="19" t="n">
        <v>27745</v>
      </c>
      <c r="D22" s="19" t="n">
        <v>0</v>
      </c>
      <c r="E22" s="19" t="n">
        <v>0</v>
      </c>
      <c r="F22" s="19" t="n">
        <v>0</v>
      </c>
      <c r="G22" s="19" t="n">
        <v>0</v>
      </c>
      <c r="H22" s="19" t="n">
        <v>0</v>
      </c>
      <c r="I22" s="19" t="n">
        <v>0</v>
      </c>
      <c r="J22" s="19" t="n">
        <v>0</v>
      </c>
      <c r="K22" s="19" t="n">
        <v>27745</v>
      </c>
      <c r="L22" s="19" t="n">
        <v>23718</v>
      </c>
      <c r="M22" s="19" t="n">
        <v>8</v>
      </c>
      <c r="N22" s="19" t="n">
        <v>0</v>
      </c>
      <c r="O22" s="19" t="n">
        <v>13</v>
      </c>
      <c r="P22" s="19" t="n">
        <v>2</v>
      </c>
    </row>
    <row r="23">
      <c r="B23" s="6" t="inlineStr">
        <is>
          <t>18th Floor</t>
        </is>
      </c>
      <c r="C23" s="19" t="n">
        <v>27745</v>
      </c>
      <c r="D23" s="19" t="n">
        <v>0</v>
      </c>
      <c r="E23" s="19" t="n">
        <v>0</v>
      </c>
      <c r="F23" s="19" t="n">
        <v>0</v>
      </c>
      <c r="G23" s="19" t="n">
        <v>0</v>
      </c>
      <c r="H23" s="19" t="n">
        <v>0</v>
      </c>
      <c r="I23" s="19" t="n">
        <v>0</v>
      </c>
      <c r="J23" s="19" t="n">
        <v>0</v>
      </c>
      <c r="K23" s="19" t="n">
        <v>27745</v>
      </c>
      <c r="L23" s="19" t="n">
        <v>23718</v>
      </c>
      <c r="M23" s="19" t="n">
        <v>8</v>
      </c>
      <c r="N23" s="19" t="n">
        <v>0</v>
      </c>
      <c r="O23" s="19" t="n">
        <v>13</v>
      </c>
      <c r="P23" s="19" t="n">
        <v>2</v>
      </c>
    </row>
    <row r="24">
      <c r="B24" s="6" t="inlineStr">
        <is>
          <t>19th Floor</t>
        </is>
      </c>
      <c r="C24" s="19" t="n">
        <v>27745</v>
      </c>
      <c r="D24" s="19" t="n">
        <v>0</v>
      </c>
      <c r="E24" s="19" t="n">
        <v>0</v>
      </c>
      <c r="F24" s="19" t="n">
        <v>0</v>
      </c>
      <c r="G24" s="19" t="n">
        <v>0</v>
      </c>
      <c r="H24" s="19" t="n">
        <v>0</v>
      </c>
      <c r="I24" s="19" t="n">
        <v>0</v>
      </c>
      <c r="J24" s="19" t="n">
        <v>0</v>
      </c>
      <c r="K24" s="19" t="n">
        <v>27745</v>
      </c>
      <c r="L24" s="19" t="n">
        <v>23718</v>
      </c>
      <c r="M24" s="19" t="n">
        <v>8</v>
      </c>
      <c r="N24" s="19" t="n">
        <v>0</v>
      </c>
      <c r="O24" s="19" t="n">
        <v>13</v>
      </c>
      <c r="P24" s="19" t="n">
        <v>2</v>
      </c>
    </row>
    <row r="25">
      <c r="B25" s="6" t="inlineStr">
        <is>
          <t>20th Floor</t>
        </is>
      </c>
      <c r="C25" s="19" t="n">
        <v>27745</v>
      </c>
      <c r="D25" s="19" t="n">
        <v>0</v>
      </c>
      <c r="E25" s="19" t="n">
        <v>0</v>
      </c>
      <c r="F25" s="19" t="n">
        <v>0</v>
      </c>
      <c r="G25" s="19" t="n">
        <v>0</v>
      </c>
      <c r="H25" s="19" t="n">
        <v>0</v>
      </c>
      <c r="I25" s="19" t="n">
        <v>0</v>
      </c>
      <c r="J25" s="19" t="n">
        <v>0</v>
      </c>
      <c r="K25" s="19" t="n">
        <v>27745</v>
      </c>
      <c r="L25" s="19" t="n">
        <v>23718</v>
      </c>
      <c r="M25" s="19" t="n">
        <v>8</v>
      </c>
      <c r="N25" s="19" t="n">
        <v>0</v>
      </c>
      <c r="O25" s="19" t="n">
        <v>13</v>
      </c>
      <c r="P25" s="19" t="n">
        <v>2</v>
      </c>
    </row>
    <row r="26">
      <c r="B26" s="6" t="inlineStr">
        <is>
          <t>21th Floor</t>
        </is>
      </c>
      <c r="C26" s="19" t="n">
        <v>27745</v>
      </c>
      <c r="D26" s="19" t="n">
        <v>0</v>
      </c>
      <c r="E26" s="19" t="n">
        <v>0</v>
      </c>
      <c r="F26" s="19" t="n">
        <v>0</v>
      </c>
      <c r="G26" s="19" t="n">
        <v>0</v>
      </c>
      <c r="H26" s="19" t="n">
        <v>0</v>
      </c>
      <c r="I26" s="19" t="n">
        <v>0</v>
      </c>
      <c r="J26" s="19" t="n">
        <v>0</v>
      </c>
      <c r="K26" s="19" t="n">
        <v>27745</v>
      </c>
      <c r="L26" s="19" t="n">
        <v>23718</v>
      </c>
      <c r="M26" s="19" t="n">
        <v>8</v>
      </c>
      <c r="N26" s="19" t="n">
        <v>0</v>
      </c>
      <c r="O26" s="19" t="n">
        <v>13</v>
      </c>
      <c r="P26" s="19" t="n">
        <v>2</v>
      </c>
    </row>
    <row r="27">
      <c r="B27" s="6" t="inlineStr">
        <is>
          <t>22th Floor</t>
        </is>
      </c>
      <c r="C27" s="19" t="n">
        <v>27745</v>
      </c>
      <c r="D27" s="19" t="n">
        <v>0</v>
      </c>
      <c r="E27" s="19" t="n">
        <v>0</v>
      </c>
      <c r="F27" s="19" t="n">
        <v>0</v>
      </c>
      <c r="G27" s="19" t="n">
        <v>0</v>
      </c>
      <c r="H27" s="19" t="n">
        <v>0</v>
      </c>
      <c r="I27" s="19" t="n">
        <v>0</v>
      </c>
      <c r="J27" s="19" t="n">
        <v>0</v>
      </c>
      <c r="K27" s="19" t="n">
        <v>27745</v>
      </c>
      <c r="L27" s="19" t="n">
        <v>23718</v>
      </c>
      <c r="M27" s="19" t="n">
        <v>8</v>
      </c>
      <c r="N27" s="19" t="n">
        <v>0</v>
      </c>
      <c r="O27" s="19" t="n">
        <v>13</v>
      </c>
      <c r="P27" s="19" t="n">
        <v>2</v>
      </c>
    </row>
    <row r="28">
      <c r="B28" s="6" t="inlineStr">
        <is>
          <t>23th Floor</t>
        </is>
      </c>
      <c r="C28" s="19" t="n">
        <v>27745</v>
      </c>
      <c r="D28" s="19" t="n">
        <v>0</v>
      </c>
      <c r="E28" s="19" t="n">
        <v>0</v>
      </c>
      <c r="F28" s="19" t="n">
        <v>0</v>
      </c>
      <c r="G28" s="19" t="n">
        <v>0</v>
      </c>
      <c r="H28" s="19" t="n">
        <v>0</v>
      </c>
      <c r="I28" s="19" t="n">
        <v>0</v>
      </c>
      <c r="J28" s="19" t="n">
        <v>0</v>
      </c>
      <c r="K28" s="19" t="n">
        <v>27745</v>
      </c>
      <c r="L28" s="19" t="n">
        <v>23718</v>
      </c>
      <c r="M28" s="19" t="n">
        <v>8</v>
      </c>
      <c r="N28" s="19" t="n">
        <v>0</v>
      </c>
      <c r="O28" s="19" t="n">
        <v>13</v>
      </c>
      <c r="P28" s="19" t="n">
        <v>2</v>
      </c>
    </row>
    <row r="29">
      <c r="B29" s="6" t="inlineStr">
        <is>
          <t>24th Floor</t>
        </is>
      </c>
      <c r="C29" s="19" t="n">
        <v>27745</v>
      </c>
      <c r="D29" s="19" t="n">
        <v>0</v>
      </c>
      <c r="E29" s="19" t="n">
        <v>0</v>
      </c>
      <c r="F29" s="19" t="n">
        <v>0</v>
      </c>
      <c r="G29" s="19" t="n">
        <v>0</v>
      </c>
      <c r="H29" s="19" t="n">
        <v>0</v>
      </c>
      <c r="I29" s="19" t="n">
        <v>0</v>
      </c>
      <c r="J29" s="19" t="n">
        <v>0</v>
      </c>
      <c r="K29" s="19" t="n">
        <v>27745</v>
      </c>
      <c r="L29" s="19" t="n">
        <v>23718</v>
      </c>
      <c r="M29" s="19" t="n">
        <v>8</v>
      </c>
      <c r="N29" s="19" t="n">
        <v>0</v>
      </c>
      <c r="O29" s="19" t="n">
        <v>13</v>
      </c>
      <c r="P29" s="19" t="n">
        <v>2</v>
      </c>
    </row>
    <row r="30">
      <c r="B30" s="6" t="inlineStr">
        <is>
          <t>25th Floor</t>
        </is>
      </c>
      <c r="C30" s="19" t="n">
        <v>27745</v>
      </c>
      <c r="D30" s="19" t="n">
        <v>0</v>
      </c>
      <c r="E30" s="19" t="n">
        <v>0</v>
      </c>
      <c r="F30" s="19" t="n">
        <v>0</v>
      </c>
      <c r="G30" s="19" t="n">
        <v>0</v>
      </c>
      <c r="H30" s="19" t="n">
        <v>0</v>
      </c>
      <c r="I30" s="19" t="n">
        <v>0</v>
      </c>
      <c r="J30" s="19" t="n">
        <v>0</v>
      </c>
      <c r="K30" s="19" t="n">
        <v>27745</v>
      </c>
      <c r="L30" s="19" t="n">
        <v>23718</v>
      </c>
      <c r="M30" s="19" t="n">
        <v>8</v>
      </c>
      <c r="N30" s="19" t="n">
        <v>0</v>
      </c>
      <c r="O30" s="19" t="n">
        <v>13</v>
      </c>
      <c r="P30" s="19" t="n">
        <v>2</v>
      </c>
    </row>
    <row r="31">
      <c r="B31" s="6" t="inlineStr">
        <is>
          <t>Amenity Roof</t>
        </is>
      </c>
      <c r="C31" s="19" t="n">
        <v>13922</v>
      </c>
      <c r="D31" s="19" t="n">
        <v>0</v>
      </c>
      <c r="E31" s="19" t="n">
        <v>0</v>
      </c>
      <c r="F31" s="19" t="n">
        <v>0</v>
      </c>
      <c r="G31" s="19" t="n">
        <v>0</v>
      </c>
      <c r="H31" s="19" t="n">
        <v>0</v>
      </c>
      <c r="I31" s="19" t="n">
        <v>4200</v>
      </c>
      <c r="J31" s="19" t="n">
        <v>9722</v>
      </c>
      <c r="K31" s="19" t="n">
        <v>0</v>
      </c>
      <c r="L31" s="19" t="n">
        <v>0</v>
      </c>
      <c r="M31" s="19" t="n">
        <v>0</v>
      </c>
      <c r="N31" s="19" t="n">
        <v>0</v>
      </c>
      <c r="O31" s="19" t="n">
        <v>0</v>
      </c>
      <c r="P31" s="19" t="n">
        <v>0</v>
      </c>
    </row>
    <row r="32">
      <c r="B32" s="20" t="inlineStr">
        <is>
          <t>TOTALS</t>
        </is>
      </c>
      <c r="C32" s="21" t="n">
        <v>763489</v>
      </c>
      <c r="D32" s="21" t="n">
        <v>81444</v>
      </c>
      <c r="E32" s="21" t="n">
        <v>178</v>
      </c>
      <c r="F32" s="21" t="n">
        <v>1948</v>
      </c>
      <c r="G32" s="21" t="n">
        <v>3474</v>
      </c>
      <c r="H32" s="21" t="n">
        <v>3638</v>
      </c>
      <c r="I32" s="21" t="n">
        <v>13621</v>
      </c>
      <c r="J32" s="21" t="n">
        <v>54813</v>
      </c>
      <c r="K32" s="21" t="n"/>
      <c r="L32" s="21" t="n">
        <v>525338</v>
      </c>
    </row>
    <row r="35">
      <c r="B35" s="4" t="inlineStr">
        <is>
          <t>SITE NOTES</t>
        </is>
      </c>
      <c r="C35" s="5" t="n"/>
      <c r="D35" s="5" t="n"/>
      <c r="E35" s="5" t="n"/>
      <c r="F35" s="5" t="n"/>
    </row>
    <row r="36">
      <c r="B36" s="22" t="inlineStr">
        <is>
          <t>Site Area</t>
        </is>
      </c>
      <c r="C36" s="6" t="inlineStr">
        <is>
          <t>51,093 SF (1.17 Acres)</t>
        </is>
      </c>
    </row>
    <row r="37">
      <c r="B37" s="22" t="inlineStr">
        <is>
          <t>FAR</t>
        </is>
      </c>
      <c r="C37" s="6" t="inlineStr">
        <is>
          <t>14.94</t>
        </is>
      </c>
    </row>
    <row r="38">
      <c r="B38" s="22" t="inlineStr">
        <is>
          <t>Density</t>
        </is>
      </c>
      <c r="C38" s="6" t="inlineStr">
        <is>
          <t>610 Units/Acre</t>
        </is>
      </c>
    </row>
    <row r="39">
      <c r="B39" s="22" t="inlineStr">
        <is>
          <t>Parking Ratio</t>
        </is>
      </c>
      <c r="C39" s="6" t="inlineStr">
        <is>
          <t>0.25 Spaces/Unit</t>
        </is>
      </c>
    </row>
    <row r="40">
      <c r="B40" s="22" t="inlineStr">
        <is>
          <t>EV Spaces Required</t>
        </is>
      </c>
      <c r="C40" s="6" t="inlineStr">
        <is>
          <t>27 (15% of 178)</t>
        </is>
      </c>
    </row>
    <row r="41">
      <c r="B41" s="22" t="inlineStr">
        <is>
          <t>Open Space</t>
        </is>
      </c>
      <c r="C41" s="6" t="inlineStr">
        <is>
          <t>6,534 SF (13%)</t>
        </is>
      </c>
    </row>
    <row r="42">
      <c r="B42" s="22" t="inlineStr">
        <is>
          <t>Amenity %</t>
        </is>
      </c>
      <c r="C42" s="6" t="inlineStr">
        <is>
          <t>7% of Building</t>
        </is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E74C3C"/>
    <outlinePr summaryBelow="1" summaryRight="1"/>
    <pageSetUpPr fitToPage="1"/>
  </sheetPr>
  <dimension ref="B2:J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0" customWidth="1" min="2" max="2"/>
    <col width="12" customWidth="1" min="3" max="3"/>
    <col width="12" customWidth="1" min="4" max="4"/>
    <col width="12" customWidth="1" min="5" max="5"/>
    <col width="14" customWidth="1" min="6" max="6"/>
    <col width="14" customWidth="1" min="7" max="7"/>
    <col width="16" customWidth="1" min="8" max="8"/>
    <col width="14" customWidth="1" min="9" max="9"/>
    <col width="16" customWidth="1" min="10" max="10"/>
  </cols>
  <sheetData>
    <row r="2">
      <c r="B2" s="1" t="inlineStr">
        <is>
          <t>MARKET RATE UNIT MIX</t>
        </is>
      </c>
    </row>
    <row r="4">
      <c r="B4" s="18" t="inlineStr">
        <is>
          <t>Unit Type</t>
        </is>
      </c>
      <c r="C4" s="18" t="inlineStr">
        <is>
          <t>Units</t>
        </is>
      </c>
      <c r="D4" s="18" t="inlineStr">
        <is>
          <t>% of Total</t>
        </is>
      </c>
      <c r="E4" s="18" t="inlineStr">
        <is>
          <t>Avg SF</t>
        </is>
      </c>
      <c r="F4" s="18" t="inlineStr">
        <is>
          <t>Total NSF</t>
        </is>
      </c>
      <c r="G4" s="18" t="inlineStr">
        <is>
          <t>Monthly Rent</t>
        </is>
      </c>
      <c r="H4" s="18" t="inlineStr">
        <is>
          <t>Annual Rent/Unit</t>
        </is>
      </c>
      <c r="I4" s="18" t="inlineStr">
        <is>
          <t>Rent/SF/Mo</t>
        </is>
      </c>
      <c r="J4" s="18" t="inlineStr">
        <is>
          <t>Annual Revenue</t>
        </is>
      </c>
    </row>
    <row r="5">
      <c r="B5" s="6" t="inlineStr">
        <is>
          <t>Studio</t>
        </is>
      </c>
      <c r="C5" s="15" t="n">
        <v>165</v>
      </c>
      <c r="D5" s="23" t="n">
        <v>0.2879581151832461</v>
      </c>
      <c r="E5" s="15" t="n">
        <v>475</v>
      </c>
      <c r="F5" s="19" t="n">
        <v>78375</v>
      </c>
      <c r="G5" s="19">
        <f>'Inputs'!C22</f>
        <v/>
      </c>
      <c r="H5" s="19" t="n">
        <v>23400</v>
      </c>
      <c r="I5" s="24" t="n">
        <v>4.105263157894737</v>
      </c>
      <c r="J5" s="19" t="n">
        <v>3861000</v>
      </c>
    </row>
    <row r="6">
      <c r="B6" s="6" t="inlineStr">
        <is>
          <t>1BR</t>
        </is>
      </c>
      <c r="C6" s="15" t="n">
        <v>280</v>
      </c>
      <c r="D6" s="23" t="n">
        <v>0.4886561954624782</v>
      </c>
      <c r="E6" s="15" t="n">
        <v>675</v>
      </c>
      <c r="F6" s="19" t="n">
        <v>189000</v>
      </c>
      <c r="G6" s="19">
        <f>'Inputs'!C23</f>
        <v/>
      </c>
      <c r="H6" s="19" t="n">
        <v>28800</v>
      </c>
      <c r="I6" s="24" t="n">
        <v>3.555555555555555</v>
      </c>
      <c r="J6" s="19" t="n">
        <v>8064000</v>
      </c>
    </row>
    <row r="7">
      <c r="B7" s="6" t="inlineStr">
        <is>
          <t>1BR + Den</t>
        </is>
      </c>
      <c r="C7" s="15" t="n">
        <v>50</v>
      </c>
      <c r="D7" s="23" t="n">
        <v>0.08726003490401396</v>
      </c>
      <c r="E7" s="15" t="n">
        <v>800</v>
      </c>
      <c r="F7" s="19" t="n">
        <v>40000</v>
      </c>
      <c r="G7" s="19">
        <f>'Inputs'!C24</f>
        <v/>
      </c>
      <c r="H7" s="19" t="n">
        <v>32400</v>
      </c>
      <c r="I7" s="24" t="n">
        <v>3.375</v>
      </c>
      <c r="J7" s="19" t="n">
        <v>1620000</v>
      </c>
    </row>
    <row r="8">
      <c r="B8" s="6" t="inlineStr">
        <is>
          <t>2BR</t>
        </is>
      </c>
      <c r="C8" s="15" t="n">
        <v>78</v>
      </c>
      <c r="D8" s="23" t="n">
        <v>0.1361256544502618</v>
      </c>
      <c r="E8" s="15" t="n">
        <v>1000</v>
      </c>
      <c r="F8" s="19" t="n">
        <v>78000</v>
      </c>
      <c r="G8" s="19">
        <f>'Inputs'!C25</f>
        <v/>
      </c>
      <c r="H8" s="19" t="n">
        <v>37200</v>
      </c>
      <c r="I8" s="24" t="n">
        <v>3.1</v>
      </c>
      <c r="J8" s="19" t="n">
        <v>2901600</v>
      </c>
    </row>
    <row r="9">
      <c r="B9" s="20" t="inlineStr">
        <is>
          <t>MARKET RATE TOTAL</t>
        </is>
      </c>
      <c r="C9" s="21" t="n">
        <v>573</v>
      </c>
      <c r="D9" s="25" t="n">
        <v>1</v>
      </c>
      <c r="E9" s="21" t="n">
        <v>673</v>
      </c>
      <c r="F9" s="21" t="n">
        <v>385375</v>
      </c>
      <c r="G9" s="21" t="n">
        <v>2392</v>
      </c>
      <c r="H9" s="21" t="n">
        <v>28703</v>
      </c>
      <c r="I9" s="26" t="n">
        <v>3.556406097956536</v>
      </c>
      <c r="J9" s="21" t="n">
        <v>16446600</v>
      </c>
    </row>
    <row r="12">
      <c r="B12" s="1" t="inlineStr">
        <is>
          <t>COMBINED UNIT SUMMARY</t>
        </is>
      </c>
    </row>
    <row r="14">
      <c r="B14" s="18" t="inlineStr">
        <is>
          <t>Category</t>
        </is>
      </c>
      <c r="C14" s="18" t="inlineStr">
        <is>
          <t>Units</t>
        </is>
      </c>
      <c r="D14" s="18" t="inlineStr">
        <is>
          <t>% of Total</t>
        </is>
      </c>
      <c r="E14" s="18" t="inlineStr">
        <is>
          <t>Avg SF</t>
        </is>
      </c>
      <c r="F14" s="18" t="inlineStr">
        <is>
          <t>Monthly Rent</t>
        </is>
      </c>
      <c r="G14" s="18" t="inlineStr">
        <is>
          <t>Annual Revenue</t>
        </is>
      </c>
    </row>
    <row r="15">
      <c r="B15" s="6" t="inlineStr">
        <is>
          <t>Market Rate</t>
        </is>
      </c>
      <c r="C15" s="19" t="n">
        <v>573</v>
      </c>
      <c r="D15" s="23" t="n">
        <v>0.8002793296089385</v>
      </c>
      <c r="E15" s="19" t="n">
        <v>673</v>
      </c>
      <c r="F15" s="19" t="n">
        <v>2392</v>
      </c>
      <c r="G15" s="19" t="n">
        <v>16446600</v>
      </c>
    </row>
    <row r="16">
      <c r="B16" s="6" t="inlineStr">
        <is>
          <t>Affordable</t>
        </is>
      </c>
      <c r="C16" s="19" t="n">
        <v>143</v>
      </c>
      <c r="D16" s="23" t="n">
        <v>0.1997206703910615</v>
      </c>
      <c r="E16" s="19" t="n">
        <v>810</v>
      </c>
      <c r="F16" s="19" t="n">
        <v>1700</v>
      </c>
      <c r="G16" s="19" t="n">
        <v>2916996</v>
      </c>
    </row>
    <row r="17">
      <c r="B17" s="20" t="inlineStr">
        <is>
          <t>TOTAL / BLENDED</t>
        </is>
      </c>
      <c r="C17" s="21" t="n">
        <v>716</v>
      </c>
      <c r="D17" s="25" t="n">
        <v>1</v>
      </c>
      <c r="F17" s="21" t="n">
        <v>2254</v>
      </c>
      <c r="G17" s="21" t="n">
        <v>19363596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27AE60"/>
    <outlinePr summaryBelow="1" summaryRight="1"/>
    <pageSetUpPr fitToPage="1"/>
  </sheetPr>
  <dimension ref="B2:H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5" customWidth="1" min="2" max="2"/>
    <col width="14" customWidth="1" min="3" max="3"/>
    <col width="14" customWidth="1" min="4" max="4"/>
    <col width="14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2">
      <c r="B2" s="1" t="inlineStr">
        <is>
          <t>AFFORDABLE UNIT CALCULATIONS</t>
        </is>
      </c>
    </row>
    <row r="3">
      <c r="B3" s="12" t="inlineStr">
        <is>
          <t>20% affordable set-aside per NJ Aspire / Newark PILOT requirements</t>
        </is>
      </c>
    </row>
    <row r="5">
      <c r="B5" s="4" t="inlineStr">
        <is>
          <t>AMI LEVEL SETTINGS</t>
        </is>
      </c>
      <c r="C5" s="5" t="n"/>
      <c r="D5" s="5" t="n"/>
      <c r="E5" s="5" t="n"/>
      <c r="F5" s="5" t="n"/>
    </row>
    <row r="6">
      <c r="B6" s="6" t="inlineStr">
        <is>
          <t>Essex County Area Median Income (4-person)</t>
        </is>
      </c>
      <c r="C6" s="15" t="n">
        <v>107000</v>
      </c>
      <c r="E6" s="12" t="inlineStr">
        <is>
          <t>2025 HUD AMI for Essex County, NJ</t>
        </is>
      </c>
    </row>
    <row r="7">
      <c r="B7" s="6" t="inlineStr">
        <is>
          <t>Target AMI Level</t>
        </is>
      </c>
      <c r="C7" s="16" t="n">
        <v>0.6</v>
      </c>
      <c r="E7" s="12" t="inlineStr">
        <is>
          <t>Adjust: 30%, 50%, 60%, or 80% AMI</t>
        </is>
      </c>
    </row>
    <row r="9">
      <c r="B9" s="4" t="inlineStr">
        <is>
          <t>RENT LIMITS BY AMI LEVEL (Monthly, Essex County)</t>
        </is>
      </c>
      <c r="C9" s="5" t="n"/>
      <c r="D9" s="5" t="n"/>
      <c r="E9" s="5" t="n"/>
      <c r="F9" s="5" t="n"/>
      <c r="G9" s="5" t="n"/>
    </row>
    <row r="10">
      <c r="B10" s="18" t="inlineStr">
        <is>
          <t>Unit Type</t>
        </is>
      </c>
      <c r="C10" s="18" t="inlineStr">
        <is>
          <t>30% AMI</t>
        </is>
      </c>
      <c r="D10" s="18" t="inlineStr">
        <is>
          <t>50% AMI</t>
        </is>
      </c>
      <c r="E10" s="18" t="inlineStr">
        <is>
          <t>60% AMI</t>
        </is>
      </c>
      <c r="F10" s="18" t="inlineStr">
        <is>
          <t>80% AMI</t>
        </is>
      </c>
      <c r="G10" s="18" t="inlineStr">
        <is>
          <t>Selected AMI</t>
        </is>
      </c>
    </row>
    <row r="11">
      <c r="B11" s="6" t="inlineStr">
        <is>
          <t>Studio</t>
        </is>
      </c>
      <c r="C11" s="19" t="n">
        <v>670</v>
      </c>
      <c r="D11" s="19" t="n">
        <v>1118</v>
      </c>
      <c r="E11" s="19" t="n">
        <v>1341</v>
      </c>
      <c r="F11" s="19" t="n">
        <v>1788</v>
      </c>
      <c r="G11" s="27" t="n">
        <v>1341</v>
      </c>
    </row>
    <row r="12">
      <c r="B12" s="6" t="inlineStr">
        <is>
          <t>1BR</t>
        </is>
      </c>
      <c r="C12" s="19" t="n">
        <v>718</v>
      </c>
      <c r="D12" s="19" t="n">
        <v>1198</v>
      </c>
      <c r="E12" s="19" t="n">
        <v>1437</v>
      </c>
      <c r="F12" s="19" t="n">
        <v>1916</v>
      </c>
      <c r="G12" s="27" t="n">
        <v>1437</v>
      </c>
    </row>
    <row r="13">
      <c r="B13" s="6" t="inlineStr">
        <is>
          <t>2BR</t>
        </is>
      </c>
      <c r="C13" s="19" t="n">
        <v>861</v>
      </c>
      <c r="D13" s="19" t="n">
        <v>1436</v>
      </c>
      <c r="E13" s="19" t="n">
        <v>1723</v>
      </c>
      <c r="F13" s="19" t="n">
        <v>2298</v>
      </c>
      <c r="G13" s="27" t="n">
        <v>1723</v>
      </c>
    </row>
    <row r="14">
      <c r="B14" s="6" t="inlineStr">
        <is>
          <t>3BR</t>
        </is>
      </c>
      <c r="C14" s="19" t="n">
        <v>995</v>
      </c>
      <c r="D14" s="19" t="n">
        <v>1659</v>
      </c>
      <c r="E14" s="19" t="n">
        <v>1991</v>
      </c>
      <c r="F14" s="19" t="n">
        <v>2655</v>
      </c>
      <c r="G14" s="27" t="n">
        <v>1991</v>
      </c>
    </row>
    <row r="16">
      <c r="B16" s="4" t="inlineStr">
        <is>
          <t>AFFORDABLE UNIT MIX</t>
        </is>
      </c>
      <c r="C16" s="5" t="n"/>
      <c r="D16" s="5" t="n"/>
      <c r="E16" s="5" t="n"/>
      <c r="F16" s="5" t="n"/>
      <c r="G16" s="5" t="n"/>
      <c r="H16" s="5" t="n"/>
    </row>
    <row r="17">
      <c r="B17" s="18" t="inlineStr">
        <is>
          <t>Unit Type</t>
        </is>
      </c>
      <c r="C17" s="18" t="inlineStr">
        <is>
          <t>Units</t>
        </is>
      </c>
      <c r="D17" s="18" t="inlineStr">
        <is>
          <t>% of Aff.</t>
        </is>
      </c>
      <c r="E17" s="18" t="inlineStr">
        <is>
          <t>Avg SF</t>
        </is>
      </c>
      <c r="F17" s="18" t="inlineStr">
        <is>
          <t>Monthly Rent</t>
        </is>
      </c>
      <c r="G17" s="18" t="inlineStr">
        <is>
          <t>Annual Rent/Unit</t>
        </is>
      </c>
      <c r="H17" s="18" t="inlineStr">
        <is>
          <t>Annual Revenue</t>
        </is>
      </c>
    </row>
    <row r="18">
      <c r="B18" s="6" t="inlineStr">
        <is>
          <t>Studio</t>
        </is>
      </c>
      <c r="C18" s="15" t="n">
        <v>29</v>
      </c>
      <c r="D18" s="23" t="n">
        <v>0.2027972027972028</v>
      </c>
      <c r="E18" s="15" t="n">
        <v>475</v>
      </c>
      <c r="F18" s="19" t="n">
        <v>1341</v>
      </c>
      <c r="G18" s="19" t="n">
        <v>16092</v>
      </c>
      <c r="H18" s="19" t="n">
        <v>466668</v>
      </c>
    </row>
    <row r="19">
      <c r="B19" s="6" t="inlineStr">
        <is>
          <t>2BR</t>
        </is>
      </c>
      <c r="C19" s="15" t="n">
        <v>85</v>
      </c>
      <c r="D19" s="23" t="n">
        <v>0.5944055944055944</v>
      </c>
      <c r="E19" s="15" t="n">
        <v>1000</v>
      </c>
      <c r="F19" s="19" t="n">
        <v>1723</v>
      </c>
      <c r="G19" s="19" t="n">
        <v>20676</v>
      </c>
      <c r="H19" s="19" t="n">
        <v>1757460</v>
      </c>
    </row>
    <row r="20">
      <c r="B20" s="6" t="inlineStr">
        <is>
          <t>3BR</t>
        </is>
      </c>
      <c r="C20" s="15" t="n">
        <v>29</v>
      </c>
      <c r="D20" s="23" t="n">
        <v>0.2027972027972028</v>
      </c>
      <c r="E20" s="15" t="n">
        <v>1200</v>
      </c>
      <c r="F20" s="19" t="n">
        <v>1991</v>
      </c>
      <c r="G20" s="19" t="n">
        <v>23892</v>
      </c>
      <c r="H20" s="19" t="n">
        <v>692868</v>
      </c>
    </row>
    <row r="21">
      <c r="B21" s="20" t="inlineStr">
        <is>
          <t>AFFORDABLE TOTAL</t>
        </is>
      </c>
      <c r="C21" s="21" t="n">
        <v>143</v>
      </c>
      <c r="D21" s="25" t="n">
        <v>1</v>
      </c>
      <c r="G21" s="21" t="n">
        <v>1700</v>
      </c>
      <c r="H21" s="21" t="n">
        <v>2916996</v>
      </c>
    </row>
    <row r="23">
      <c r="B23" s="4" t="inlineStr">
        <is>
          <t>AFFORDABLE HOUSING COMPLIANCE</t>
        </is>
      </c>
      <c r="C23" s="5" t="n"/>
      <c r="D23" s="5" t="n"/>
      <c r="E23" s="5" t="n"/>
      <c r="F23" s="5" t="n"/>
    </row>
    <row r="24">
      <c r="B24" s="6" t="inlineStr">
        <is>
          <t>Total Units</t>
        </is>
      </c>
      <c r="C24" s="28" t="n">
        <v>716</v>
      </c>
    </row>
    <row r="25">
      <c r="B25" s="6" t="inlineStr">
        <is>
          <t>Affordable Units</t>
        </is>
      </c>
      <c r="C25" s="28" t="n">
        <v>143</v>
      </c>
    </row>
    <row r="26">
      <c r="B26" s="6" t="inlineStr">
        <is>
          <t>Affordable %</t>
        </is>
      </c>
      <c r="C26" s="28" t="inlineStr">
        <is>
          <t>20.0%</t>
        </is>
      </c>
    </row>
    <row r="27">
      <c r="B27" s="6" t="inlineStr">
        <is>
          <t>Minimum Required (%)</t>
        </is>
      </c>
      <c r="C27" s="28" t="inlineStr">
        <is>
          <t>20.0%</t>
        </is>
      </c>
    </row>
    <row r="28">
      <c r="B28" s="6" t="inlineStr">
        <is>
          <t>Compliance Status</t>
        </is>
      </c>
      <c r="C28" s="28" t="inlineStr">
        <is>
          <t>COMPLIANT</t>
        </is>
      </c>
    </row>
    <row r="29">
      <c r="B29" s="6" t="inlineStr">
        <is>
          <t>Affordability Term (Years)</t>
        </is>
      </c>
      <c r="C29" s="28" t="n">
        <v>30</v>
      </c>
    </row>
    <row r="30">
      <c r="B30" s="6" t="inlineStr">
        <is>
          <t>Rent Discount vs Market</t>
        </is>
      </c>
      <c r="C30" s="28" t="inlineStr">
        <is>
          <t>~35-45%</t>
        </is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F39C12"/>
    <outlinePr summaryBelow="1" summaryRight="1"/>
    <pageSetUpPr fitToPage="1"/>
  </sheetPr>
  <dimension ref="B2:H4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8" customWidth="1" min="2" max="2"/>
    <col width="38" customWidth="1" min="3" max="3"/>
    <col width="20" customWidth="1" min="4" max="4"/>
    <col width="16" customWidth="1" min="5" max="5"/>
    <col width="14" customWidth="1" min="6" max="6"/>
    <col width="14" customWidth="1" min="7" max="7"/>
    <col width="30" customWidth="1" min="8" max="8"/>
  </cols>
  <sheetData>
    <row r="2">
      <c r="B2" s="1" t="inlineStr">
        <is>
          <t>DEVELOPMENT BUDGET</t>
        </is>
      </c>
    </row>
    <row r="3">
      <c r="B3" s="12" t="inlineStr">
        <is>
          <t>All cost inputs are adjustable. Per-unit and per-SF metrics auto-calculate.</t>
        </is>
      </c>
    </row>
    <row r="5">
      <c r="B5" s="18" t="inlineStr">
        <is>
          <t>#</t>
        </is>
      </c>
      <c r="C5" s="18" t="inlineStr">
        <is>
          <t>Line Item</t>
        </is>
      </c>
      <c r="D5" s="18" t="inlineStr">
        <is>
          <t>Total Cost</t>
        </is>
      </c>
      <c r="E5" s="18" t="inlineStr">
        <is>
          <t>$/Unit</t>
        </is>
      </c>
      <c r="F5" s="18" t="inlineStr">
        <is>
          <t>$/GSF</t>
        </is>
      </c>
      <c r="G5" s="18" t="inlineStr">
        <is>
          <t>% of TDC</t>
        </is>
      </c>
      <c r="H5" s="18" t="inlineStr">
        <is>
          <t>Notes</t>
        </is>
      </c>
    </row>
    <row r="6">
      <c r="B6" s="4" t="inlineStr">
        <is>
          <t>LAND ACQUISITION</t>
        </is>
      </c>
      <c r="C6" s="5" t="n"/>
      <c r="D6" s="5" t="n"/>
      <c r="E6" s="5" t="n"/>
      <c r="F6" s="5" t="n"/>
      <c r="G6" s="5" t="n"/>
      <c r="H6" s="5" t="n"/>
    </row>
    <row r="7">
      <c r="B7" s="29" t="inlineStr">
        <is>
          <t>1</t>
        </is>
      </c>
      <c r="C7" s="6" t="inlineStr">
        <is>
          <t>Land / Site Acquisition</t>
        </is>
      </c>
      <c r="D7" s="15" t="n">
        <v>25000000</v>
      </c>
      <c r="E7" s="19" t="n">
        <v>34916</v>
      </c>
      <c r="F7" s="24" t="n">
        <v>32.74</v>
      </c>
      <c r="G7" s="23" t="n">
        <v>0.06180484815575606</v>
      </c>
      <c r="H7" s="12" t="inlineStr">
        <is>
          <t>Estimated acquisition cost</t>
        </is>
      </c>
    </row>
    <row r="9">
      <c r="B9" s="4" t="inlineStr">
        <is>
          <t>HARD COSTS</t>
        </is>
      </c>
      <c r="C9" s="5" t="n"/>
      <c r="D9" s="5" t="n"/>
      <c r="E9" s="5" t="n"/>
      <c r="F9" s="5" t="n"/>
      <c r="G9" s="5" t="n"/>
      <c r="H9" s="5" t="n"/>
    </row>
    <row r="10">
      <c r="B10" s="29" t="inlineStr">
        <is>
          <t>2</t>
        </is>
      </c>
      <c r="C10" s="6" t="inlineStr">
        <is>
          <t>Vertical Construction</t>
        </is>
      </c>
      <c r="D10" s="15" t="n">
        <v>248133925</v>
      </c>
      <c r="E10" s="19" t="n">
        <v>346556</v>
      </c>
      <c r="F10" s="24" t="n">
        <v>325</v>
      </c>
      <c r="H10" s="12" t="inlineStr">
        <is>
          <t>Base hard cost at $325/GSF (incl. structure)</t>
        </is>
      </c>
    </row>
    <row r="11">
      <c r="B11" s="29" t="inlineStr">
        <is>
          <t>3</t>
        </is>
      </c>
      <c r="C11" s="6" t="inlineStr">
        <is>
          <t>Site Work &amp; Infrastructure</t>
        </is>
      </c>
      <c r="D11" s="15" t="n">
        <v>9925357</v>
      </c>
      <c r="E11" s="19" t="n">
        <v>13862</v>
      </c>
      <c r="F11" s="24" t="n">
        <v>13</v>
      </c>
      <c r="H11" s="12" t="inlineStr">
        <is>
          <t>~4% of base hard</t>
        </is>
      </c>
    </row>
    <row r="12">
      <c r="B12" s="29" t="inlineStr">
        <is>
          <t>4</t>
        </is>
      </c>
      <c r="C12" s="6" t="inlineStr">
        <is>
          <t>Amenity Build-Out (Premium)</t>
        </is>
      </c>
      <c r="D12" s="15" t="n">
        <v>4110975</v>
      </c>
      <c r="E12" s="19" t="n">
        <v>5742</v>
      </c>
      <c r="F12" s="24" t="n">
        <v>5.38</v>
      </c>
      <c r="H12" s="12" t="inlineStr">
        <is>
          <t>$75/SF amenity premium above base</t>
        </is>
      </c>
    </row>
    <row r="13">
      <c r="B13" s="29" t="inlineStr">
        <is>
          <t>5</t>
        </is>
      </c>
      <c r="C13" s="6" t="inlineStr">
        <is>
          <t>Retail Shell (Premium)</t>
        </is>
      </c>
      <c r="D13" s="15" t="n">
        <v>173700</v>
      </c>
      <c r="E13" s="19" t="n">
        <v>243</v>
      </c>
      <c r="F13" s="24" t="n">
        <v>0.23</v>
      </c>
      <c r="H13" s="12" t="inlineStr">
        <is>
          <t>$50/SF retail premium above base</t>
        </is>
      </c>
    </row>
    <row r="14">
      <c r="B14" s="29" t="inlineStr">
        <is>
          <t>6</t>
        </is>
      </c>
      <c r="C14" s="6" t="inlineStr">
        <is>
          <t>Green Wall / Sustainability</t>
        </is>
      </c>
      <c r="D14" s="15" t="n">
        <v>300000</v>
      </c>
      <c r="E14" s="19" t="n">
        <v>419</v>
      </c>
      <c r="F14" s="24" t="n">
        <v>0.39</v>
      </c>
      <c r="H14" s="12" t="inlineStr">
        <is>
          <t>$200/SF green wall</t>
        </is>
      </c>
    </row>
    <row r="15">
      <c r="B15" s="29" t="inlineStr">
        <is>
          <t>7</t>
        </is>
      </c>
      <c r="C15" s="6" t="inlineStr">
        <is>
          <t>FF&amp;E (Common Areas)</t>
        </is>
      </c>
      <c r="D15" s="15" t="n">
        <v>2500000</v>
      </c>
      <c r="E15" s="19" t="n">
        <v>3492</v>
      </c>
      <c r="F15" s="24" t="n">
        <v>3.27</v>
      </c>
      <c r="H15" s="12" t="inlineStr">
        <is>
          <t>Lobby, amenity furnishings</t>
        </is>
      </c>
    </row>
    <row r="16">
      <c r="B16" s="29" t="inlineStr">
        <is>
          <t>8</t>
        </is>
      </c>
      <c r="C16" s="6" t="inlineStr">
        <is>
          <t>Signage &amp; Wayfinding</t>
        </is>
      </c>
      <c r="D16" s="15" t="n">
        <v>350000</v>
      </c>
      <c r="E16" s="19" t="n">
        <v>489</v>
      </c>
      <c r="F16" s="24" t="n">
        <v>0.46</v>
      </c>
      <c r="H16" s="12" t="inlineStr"/>
    </row>
    <row r="17">
      <c r="B17" s="29" t="inlineStr"/>
      <c r="C17" s="6" t="inlineStr">
        <is>
          <t>Hard Cost Contingency (7.5%)</t>
        </is>
      </c>
      <c r="D17" s="19" t="n">
        <v>19912047</v>
      </c>
    </row>
    <row r="18">
      <c r="B18" s="30" t="inlineStr"/>
      <c r="C18" s="31" t="inlineStr">
        <is>
          <t>TOTAL HARD COSTS</t>
        </is>
      </c>
      <c r="D18" s="21" t="n">
        <v>285406004</v>
      </c>
      <c r="E18" s="21" t="n">
        <v>398612</v>
      </c>
      <c r="F18" s="26" t="n">
        <v>373.82</v>
      </c>
      <c r="G18" s="32" t="n"/>
      <c r="H18" s="32" t="n"/>
    </row>
    <row r="20">
      <c r="B20" s="4" t="inlineStr">
        <is>
          <t>SOFT COSTS</t>
        </is>
      </c>
      <c r="C20" s="5" t="n"/>
      <c r="D20" s="5" t="n"/>
      <c r="E20" s="5" t="n"/>
      <c r="F20" s="5" t="n"/>
      <c r="G20" s="5" t="n"/>
      <c r="H20" s="5" t="n"/>
    </row>
    <row r="21">
      <c r="B21" s="29" t="inlineStr">
        <is>
          <t>10</t>
        </is>
      </c>
      <c r="C21" s="6" t="inlineStr">
        <is>
          <t>Architecture &amp; Engineering</t>
        </is>
      </c>
      <c r="D21" s="15" t="n">
        <v>16128705</v>
      </c>
      <c r="E21" s="19" t="n">
        <v>22526</v>
      </c>
      <c r="F21" s="24" t="n">
        <v>21.12</v>
      </c>
      <c r="H21" s="12" t="inlineStr">
        <is>
          <t>6.5% of base hard costs</t>
        </is>
      </c>
    </row>
    <row r="22">
      <c r="B22" s="29" t="inlineStr">
        <is>
          <t>11</t>
        </is>
      </c>
      <c r="C22" s="6" t="inlineStr">
        <is>
          <t>Legal &amp; Accounting</t>
        </is>
      </c>
      <c r="D22" s="15" t="n">
        <v>2977607</v>
      </c>
      <c r="E22" s="19" t="n">
        <v>4159</v>
      </c>
      <c r="F22" s="24" t="n">
        <v>3.9</v>
      </c>
      <c r="H22" s="12" t="inlineStr">
        <is>
          <t>1.2% of hard costs</t>
        </is>
      </c>
    </row>
    <row r="23">
      <c r="B23" s="29" t="inlineStr">
        <is>
          <t>12</t>
        </is>
      </c>
      <c r="C23" s="6" t="inlineStr">
        <is>
          <t>Permits &amp; Impact Fees</t>
        </is>
      </c>
      <c r="D23" s="15" t="n">
        <v>4962678</v>
      </c>
      <c r="E23" s="19" t="n">
        <v>6931</v>
      </c>
      <c r="F23" s="24" t="n">
        <v>6.5</v>
      </c>
      <c r="H23" s="12" t="inlineStr">
        <is>
          <t>2% of hard costs</t>
        </is>
      </c>
    </row>
    <row r="24">
      <c r="B24" s="29" t="inlineStr">
        <is>
          <t>13</t>
        </is>
      </c>
      <c r="C24" s="6" t="inlineStr">
        <is>
          <t>Environmental / Testing</t>
        </is>
      </c>
      <c r="D24" s="15" t="n">
        <v>1985071</v>
      </c>
      <c r="E24" s="19" t="n">
        <v>2772</v>
      </c>
      <c r="F24" s="24" t="n">
        <v>2.6</v>
      </c>
      <c r="H24" s="12" t="inlineStr">
        <is>
          <t>0.8% of hard costs</t>
        </is>
      </c>
    </row>
    <row r="25">
      <c r="B25" s="29" t="inlineStr">
        <is>
          <t>14</t>
        </is>
      </c>
      <c r="C25" s="6" t="inlineStr">
        <is>
          <t>Title &amp; Insurance (Construction)</t>
        </is>
      </c>
      <c r="D25" s="15" t="n">
        <v>2977607</v>
      </c>
      <c r="E25" s="19" t="n">
        <v>4159</v>
      </c>
      <c r="F25" s="24" t="n">
        <v>3.9</v>
      </c>
      <c r="H25" s="12" t="inlineStr">
        <is>
          <t>1.2% of hard costs</t>
        </is>
      </c>
    </row>
    <row r="26">
      <c r="B26" s="29" t="inlineStr">
        <is>
          <t>15</t>
        </is>
      </c>
      <c r="C26" s="6" t="inlineStr">
        <is>
          <t>Marketing / Pre-Leasing</t>
        </is>
      </c>
      <c r="D26" s="15" t="n">
        <v>1800000</v>
      </c>
      <c r="E26" s="19" t="n">
        <v>2514</v>
      </c>
      <c r="F26" s="24" t="n">
        <v>2.36</v>
      </c>
      <c r="H26" s="12" t="inlineStr">
        <is>
          <t>Branding, website, broker fees</t>
        </is>
      </c>
    </row>
    <row r="27">
      <c r="B27" s="29" t="inlineStr">
        <is>
          <t>16</t>
        </is>
      </c>
      <c r="C27" s="6" t="inlineStr">
        <is>
          <t>Real Estate Taxes (During Const.)</t>
        </is>
      </c>
      <c r="D27" s="15" t="n">
        <v>2750000</v>
      </c>
      <c r="E27" s="19" t="n">
        <v>3841</v>
      </c>
      <c r="F27" s="24" t="n">
        <v>3.6</v>
      </c>
      <c r="H27" s="12" t="inlineStr">
        <is>
          <t>Est. ~2.75 yrs at 4%</t>
        </is>
      </c>
    </row>
    <row r="28">
      <c r="B28" s="29" t="inlineStr">
        <is>
          <t>17</t>
        </is>
      </c>
      <c r="C28" s="6" t="inlineStr">
        <is>
          <t>Utility Connections</t>
        </is>
      </c>
      <c r="D28" s="15" t="n">
        <v>1200000</v>
      </c>
      <c r="E28" s="19" t="n">
        <v>1676</v>
      </c>
      <c r="F28" s="24" t="n">
        <v>1.57</v>
      </c>
      <c r="H28" s="12" t="inlineStr"/>
    </row>
    <row r="29">
      <c r="C29" s="6" t="inlineStr">
        <is>
          <t>Soft Cost Contingency (10%)</t>
        </is>
      </c>
      <c r="D29" s="19" t="n">
        <v>3478167</v>
      </c>
    </row>
    <row r="30">
      <c r="B30" s="30" t="inlineStr"/>
      <c r="C30" s="31" t="inlineStr">
        <is>
          <t>TOTAL SOFT COSTS</t>
        </is>
      </c>
      <c r="D30" s="21" t="n">
        <v>38259835</v>
      </c>
      <c r="E30" s="21" t="n">
        <v>53436</v>
      </c>
      <c r="F30" s="26" t="n">
        <v>50.11</v>
      </c>
      <c r="G30" s="32" t="n"/>
      <c r="H30" s="32" t="n"/>
    </row>
    <row r="32">
      <c r="B32" s="4" t="inlineStr">
        <is>
          <t>FINANCING COSTS</t>
        </is>
      </c>
      <c r="C32" s="5" t="n"/>
      <c r="D32" s="5" t="n"/>
      <c r="E32" s="5" t="n"/>
      <c r="F32" s="5" t="n"/>
      <c r="G32" s="5" t="n"/>
      <c r="H32" s="5" t="n"/>
    </row>
    <row r="33">
      <c r="B33" s="29" t="inlineStr">
        <is>
          <t>18</t>
        </is>
      </c>
      <c r="C33" s="6" t="inlineStr">
        <is>
          <t>Construction Loan Interest</t>
        </is>
      </c>
      <c r="D33" s="15" t="n">
        <v>27686247</v>
      </c>
      <c r="E33" s="19" t="n">
        <v>38668</v>
      </c>
      <c r="H33" s="12" t="inlineStr">
        <is>
          <t>7.5% on avg 55% drawn, 33 months</t>
        </is>
      </c>
    </row>
    <row r="34">
      <c r="B34" s="29" t="inlineStr">
        <is>
          <t>19</t>
        </is>
      </c>
      <c r="C34" s="6" t="inlineStr">
        <is>
          <t>Construction Loan Origination</t>
        </is>
      </c>
      <c r="D34" s="15" t="n">
        <v>2440661</v>
      </c>
      <c r="E34" s="19" t="n">
        <v>3409</v>
      </c>
      <c r="H34" s="12" t="inlineStr">
        <is>
          <t>1% of loan amount</t>
        </is>
      </c>
    </row>
    <row r="35">
      <c r="B35" s="29" t="inlineStr">
        <is>
          <t>20</t>
        </is>
      </c>
      <c r="C35" s="6" t="inlineStr">
        <is>
          <t>Permanent Loan Origination</t>
        </is>
      </c>
      <c r="D35" s="15" t="n">
        <v>1220330</v>
      </c>
      <c r="E35" s="19" t="n">
        <v>1704</v>
      </c>
      <c r="H35" s="12" t="inlineStr">
        <is>
          <t>0.5% est. perm loan fee</t>
        </is>
      </c>
    </row>
    <row r="36">
      <c r="B36" s="29" t="inlineStr">
        <is>
          <t>21</t>
        </is>
      </c>
      <c r="C36" s="6" t="inlineStr">
        <is>
          <t>Other Financing Costs</t>
        </is>
      </c>
      <c r="D36" s="15" t="n">
        <v>500000</v>
      </c>
      <c r="E36" s="19" t="n">
        <v>698</v>
      </c>
      <c r="H36" s="12" t="inlineStr">
        <is>
          <t>Appraisals, rate locks, etc.</t>
        </is>
      </c>
    </row>
    <row r="37">
      <c r="B37" s="30" t="inlineStr"/>
      <c r="C37" s="31" t="inlineStr">
        <is>
          <t>TOTAL FINANCING COSTS</t>
        </is>
      </c>
      <c r="D37" s="21" t="n">
        <v>31847238</v>
      </c>
      <c r="E37" s="32" t="n"/>
      <c r="F37" s="32" t="n"/>
      <c r="G37" s="32" t="n"/>
      <c r="H37" s="32" t="n"/>
    </row>
    <row r="39">
      <c r="B39" s="29" t="inlineStr">
        <is>
          <t>22</t>
        </is>
      </c>
      <c r="C39" s="6" t="inlineStr">
        <is>
          <t>Developer Fee (4% of TDC)</t>
        </is>
      </c>
      <c r="D39" s="15" t="n">
        <v>15220523</v>
      </c>
      <c r="E39" s="19" t="n">
        <v>21258</v>
      </c>
      <c r="H39" s="12" t="inlineStr">
        <is>
          <t>4% of total development cost before fee</t>
        </is>
      </c>
    </row>
    <row r="41">
      <c r="B41" s="30" t="inlineStr"/>
      <c r="C41" s="33" t="inlineStr">
        <is>
          <t>TOTAL DEVELOPMENT COST</t>
        </is>
      </c>
      <c r="D41" s="34" t="n">
        <v>395733600</v>
      </c>
      <c r="E41" s="21" t="n">
        <v>552701</v>
      </c>
      <c r="F41" s="26" t="n">
        <v>518.3200000000001</v>
      </c>
      <c r="G41" s="25" t="n">
        <v>1</v>
      </c>
      <c r="H41" s="32" t="n"/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8E44AD"/>
    <outlinePr summaryBelow="1" summaryRight="1"/>
    <pageSetUpPr fitToPage="1"/>
  </sheetPr>
  <dimension ref="B2:P32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5" customWidth="1" min="2" max="2"/>
    <col width="3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4" customWidth="1" min="15" max="15"/>
    <col width="12" customWidth="1" min="16" max="16"/>
  </cols>
  <sheetData>
    <row r="2">
      <c r="B2" s="1" t="inlineStr">
        <is>
          <t>OPERATING PRO FORMA - 10 YEAR PROJECTION</t>
        </is>
      </c>
    </row>
    <row r="3">
      <c r="B3" s="12" t="inlineStr">
        <is>
          <t>Year 1-2: Lease-up period. Year 3+: Stabilized operations. All values driven by Inputs tab.</t>
        </is>
      </c>
    </row>
    <row r="5">
      <c r="C5" s="18" t="inlineStr">
        <is>
          <t>Line Item</t>
        </is>
      </c>
      <c r="D5" s="18" t="inlineStr">
        <is>
          <t>Year 1</t>
        </is>
      </c>
      <c r="E5" s="18" t="inlineStr">
        <is>
          <t>Year 2</t>
        </is>
      </c>
      <c r="F5" s="18" t="inlineStr">
        <is>
          <t>Year 3</t>
        </is>
      </c>
      <c r="G5" s="18" t="inlineStr">
        <is>
          <t>Year 4</t>
        </is>
      </c>
      <c r="H5" s="18" t="inlineStr">
        <is>
          <t>Year 5</t>
        </is>
      </c>
      <c r="I5" s="18" t="inlineStr">
        <is>
          <t>Year 6</t>
        </is>
      </c>
      <c r="J5" s="18" t="inlineStr">
        <is>
          <t>Year 7</t>
        </is>
      </c>
      <c r="K5" s="18" t="inlineStr">
        <is>
          <t>Year 8</t>
        </is>
      </c>
      <c r="L5" s="18" t="inlineStr">
        <is>
          <t>Year 9</t>
        </is>
      </c>
      <c r="M5" s="18" t="inlineStr">
        <is>
          <t>Year 10</t>
        </is>
      </c>
      <c r="N5" s="18" t="inlineStr">
        <is>
          <t>Year 11</t>
        </is>
      </c>
      <c r="O5" s="18" t="inlineStr">
        <is>
          <t>$/Unit</t>
        </is>
      </c>
      <c r="P5" s="18" t="inlineStr">
        <is>
          <t>% of EGI</t>
        </is>
      </c>
    </row>
    <row r="6">
      <c r="B6" s="4" t="inlineStr">
        <is>
          <t>REVENUE</t>
        </is>
      </c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</row>
    <row r="7">
      <c r="C7" s="6" t="inlineStr">
        <is>
          <t>Market Rate Rental Income</t>
        </is>
      </c>
      <c r="D7" s="19" t="n">
        <v>6578640</v>
      </c>
      <c r="E7" s="19" t="n">
        <v>14329100</v>
      </c>
      <c r="F7" s="19" t="n">
        <v>16415249</v>
      </c>
      <c r="G7" s="19" t="n">
        <v>16825630</v>
      </c>
      <c r="H7" s="19" t="n">
        <v>17246271</v>
      </c>
      <c r="I7" s="19" t="n">
        <v>17677427</v>
      </c>
      <c r="J7" s="19" t="n">
        <v>18119363</v>
      </c>
      <c r="K7" s="19" t="n">
        <v>18572347</v>
      </c>
      <c r="L7" s="19" t="n">
        <v>19036656</v>
      </c>
      <c r="M7" s="19" t="n">
        <v>19512572</v>
      </c>
      <c r="N7" s="19" t="n">
        <v>20000387</v>
      </c>
    </row>
    <row r="8">
      <c r="C8" s="6" t="inlineStr">
        <is>
          <t>Affordable Rental Income</t>
        </is>
      </c>
      <c r="D8" s="19" t="n">
        <v>1166798</v>
      </c>
      <c r="E8" s="19" t="n">
        <v>2529036</v>
      </c>
      <c r="F8" s="19" t="n">
        <v>2883101</v>
      </c>
      <c r="G8" s="19" t="n">
        <v>2940763</v>
      </c>
      <c r="H8" s="19" t="n">
        <v>2999578</v>
      </c>
      <c r="I8" s="19" t="n">
        <v>3059569</v>
      </c>
      <c r="J8" s="19" t="n">
        <v>3120761</v>
      </c>
      <c r="K8" s="19" t="n">
        <v>3183176</v>
      </c>
      <c r="L8" s="19" t="n">
        <v>3246839</v>
      </c>
      <c r="M8" s="19" t="n">
        <v>3311776</v>
      </c>
      <c r="N8" s="19" t="n">
        <v>3378012</v>
      </c>
    </row>
    <row r="9">
      <c r="C9" s="6" t="inlineStr">
        <is>
          <t>Retail Income</t>
        </is>
      </c>
      <c r="D9" s="19" t="n">
        <v>48636</v>
      </c>
      <c r="E9" s="19" t="n">
        <v>94257</v>
      </c>
      <c r="F9" s="19" t="n">
        <v>101202</v>
      </c>
      <c r="G9" s="19" t="n">
        <v>103226</v>
      </c>
      <c r="H9" s="19" t="n">
        <v>105290</v>
      </c>
      <c r="I9" s="19" t="n">
        <v>107396</v>
      </c>
      <c r="J9" s="19" t="n">
        <v>109544</v>
      </c>
      <c r="K9" s="19" t="n">
        <v>111735</v>
      </c>
      <c r="L9" s="19" t="n">
        <v>113970</v>
      </c>
      <c r="M9" s="19" t="n">
        <v>116249</v>
      </c>
      <c r="N9" s="19" t="n">
        <v>118574</v>
      </c>
    </row>
    <row r="10">
      <c r="C10" s="6" t="inlineStr">
        <is>
          <t>Parking Income</t>
        </is>
      </c>
      <c r="D10" s="19" t="n">
        <v>149520</v>
      </c>
      <c r="E10" s="19" t="n">
        <v>324085</v>
      </c>
      <c r="F10" s="19" t="n">
        <v>369456</v>
      </c>
      <c r="G10" s="19" t="n">
        <v>376846</v>
      </c>
      <c r="H10" s="19" t="n">
        <v>384382</v>
      </c>
      <c r="I10" s="19" t="n">
        <v>392070</v>
      </c>
      <c r="J10" s="19" t="n">
        <v>399912</v>
      </c>
      <c r="K10" s="19" t="n">
        <v>407910</v>
      </c>
      <c r="L10" s="19" t="n">
        <v>416068</v>
      </c>
      <c r="M10" s="19" t="n">
        <v>424389</v>
      </c>
      <c r="N10" s="19" t="n">
        <v>432877</v>
      </c>
    </row>
    <row r="11">
      <c r="C11" s="6" t="inlineStr">
        <is>
          <t>Other Income</t>
        </is>
      </c>
      <c r="D11" s="19" t="n">
        <v>171840</v>
      </c>
      <c r="E11" s="19" t="n">
        <v>372463</v>
      </c>
      <c r="F11" s="19" t="n">
        <v>424608</v>
      </c>
      <c r="G11" s="19" t="n">
        <v>433100</v>
      </c>
      <c r="H11" s="19" t="n">
        <v>441762</v>
      </c>
      <c r="I11" s="19" t="n">
        <v>450597</v>
      </c>
      <c r="J11" s="19" t="n">
        <v>459609</v>
      </c>
      <c r="K11" s="19" t="n">
        <v>468802</v>
      </c>
      <c r="L11" s="19" t="n">
        <v>478178</v>
      </c>
      <c r="M11" s="19" t="n">
        <v>487741</v>
      </c>
      <c r="N11" s="19" t="n">
        <v>497496</v>
      </c>
    </row>
    <row r="12">
      <c r="C12" s="6" t="inlineStr">
        <is>
          <t>Gross Potential Revenue</t>
        </is>
      </c>
      <c r="D12" s="7" t="n">
        <v>8115434</v>
      </c>
      <c r="E12" s="7" t="n">
        <v>17648941</v>
      </c>
      <c r="F12" s="7" t="n">
        <v>20193616</v>
      </c>
      <c r="G12" s="7" t="n">
        <v>20679565</v>
      </c>
      <c r="H12" s="7" t="n">
        <v>21177283</v>
      </c>
      <c r="I12" s="7" t="n">
        <v>21687059</v>
      </c>
      <c r="J12" s="7" t="n">
        <v>22209189</v>
      </c>
      <c r="K12" s="7" t="n">
        <v>22743970</v>
      </c>
      <c r="L12" s="7" t="n">
        <v>23291711</v>
      </c>
      <c r="M12" s="7" t="n">
        <v>23852727</v>
      </c>
      <c r="N12" s="7" t="n">
        <v>24427346</v>
      </c>
    </row>
    <row r="14">
      <c r="C14" s="6" t="inlineStr">
        <is>
          <t>Less: Vacancy &amp; Credit Loss</t>
        </is>
      </c>
      <c r="D14" s="19" t="n">
        <v>-405772</v>
      </c>
      <c r="E14" s="19" t="n">
        <v>-882447</v>
      </c>
      <c r="F14" s="19" t="n">
        <v>-1009681</v>
      </c>
      <c r="G14" s="19" t="n">
        <v>-1033978</v>
      </c>
      <c r="H14" s="19" t="n">
        <v>-1058864</v>
      </c>
      <c r="I14" s="19" t="n">
        <v>-1084353</v>
      </c>
      <c r="J14" s="19" t="n">
        <v>-1110459</v>
      </c>
      <c r="K14" s="19" t="n">
        <v>-1137198</v>
      </c>
      <c r="L14" s="19" t="n">
        <v>-1164586</v>
      </c>
      <c r="M14" s="19" t="n">
        <v>-1192636</v>
      </c>
      <c r="N14" s="19" t="n">
        <v>-1221367</v>
      </c>
    </row>
    <row r="15">
      <c r="C15" s="22" t="inlineStr">
        <is>
          <t>Effective Gross Income</t>
        </is>
      </c>
      <c r="D15" s="32" t="n">
        <v>7709662</v>
      </c>
      <c r="E15" s="32" t="n">
        <v>16766494</v>
      </c>
      <c r="F15" s="32" t="n">
        <v>19183935</v>
      </c>
      <c r="G15" s="32" t="n">
        <v>19645587</v>
      </c>
      <c r="H15" s="32" t="n">
        <v>20118419</v>
      </c>
      <c r="I15" s="32" t="n">
        <v>20602706</v>
      </c>
      <c r="J15" s="32" t="n">
        <v>21098730</v>
      </c>
      <c r="K15" s="32" t="n">
        <v>21606772</v>
      </c>
      <c r="L15" s="32" t="n">
        <v>22127125</v>
      </c>
      <c r="M15" s="32" t="n">
        <v>22660091</v>
      </c>
      <c r="N15" s="32" t="n">
        <v>23205979</v>
      </c>
    </row>
    <row r="17">
      <c r="B17" s="4" t="inlineStr">
        <is>
          <t>OPERATING EXPENSES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</row>
    <row r="18">
      <c r="C18" s="6" t="inlineStr">
        <is>
          <t>PILOT / Property Tax</t>
        </is>
      </c>
      <c r="D18" s="19" t="n">
        <v>1014429</v>
      </c>
      <c r="E18" s="19" t="n">
        <v>2206118</v>
      </c>
      <c r="F18" s="19" t="n">
        <v>2524202</v>
      </c>
      <c r="G18" s="19" t="n">
        <v>2584946</v>
      </c>
      <c r="H18" s="19" t="n">
        <v>2647160</v>
      </c>
      <c r="I18" s="19" t="n">
        <v>2710882</v>
      </c>
      <c r="J18" s="19" t="n">
        <v>2776149</v>
      </c>
      <c r="K18" s="19" t="n">
        <v>2842996</v>
      </c>
      <c r="L18" s="19" t="n">
        <v>2911464</v>
      </c>
      <c r="M18" s="19" t="n">
        <v>2981591</v>
      </c>
      <c r="N18" s="19" t="n">
        <v>3053418</v>
      </c>
    </row>
    <row r="19">
      <c r="C19" s="6" t="inlineStr">
        <is>
          <t>Insurance</t>
        </is>
      </c>
      <c r="D19" s="19" t="n">
        <v>1074000</v>
      </c>
      <c r="E19" s="19" t="n">
        <v>1106220</v>
      </c>
      <c r="F19" s="19" t="n">
        <v>1139407</v>
      </c>
      <c r="G19" s="19" t="n">
        <v>1173589</v>
      </c>
      <c r="H19" s="19" t="n">
        <v>1208796</v>
      </c>
      <c r="I19" s="19" t="n">
        <v>1245060</v>
      </c>
      <c r="J19" s="19" t="n">
        <v>1282412</v>
      </c>
      <c r="K19" s="19" t="n">
        <v>1320885</v>
      </c>
      <c r="L19" s="19" t="n">
        <v>1360511</v>
      </c>
      <c r="M19" s="19" t="n">
        <v>1401326</v>
      </c>
      <c r="N19" s="19" t="n">
        <v>1443366</v>
      </c>
    </row>
    <row r="20">
      <c r="C20" s="6" t="inlineStr">
        <is>
          <t>Management Fee</t>
        </is>
      </c>
      <c r="D20" s="19" t="n">
        <v>231290</v>
      </c>
      <c r="E20" s="19" t="n">
        <v>502995</v>
      </c>
      <c r="F20" s="19" t="n">
        <v>575518</v>
      </c>
      <c r="G20" s="19" t="n">
        <v>589368</v>
      </c>
      <c r="H20" s="19" t="n">
        <v>603553</v>
      </c>
      <c r="I20" s="19" t="n">
        <v>618081</v>
      </c>
      <c r="J20" s="19" t="n">
        <v>632962</v>
      </c>
      <c r="K20" s="19" t="n">
        <v>648203</v>
      </c>
      <c r="L20" s="19" t="n">
        <v>663814</v>
      </c>
      <c r="M20" s="19" t="n">
        <v>679803</v>
      </c>
      <c r="N20" s="19" t="n">
        <v>696179</v>
      </c>
    </row>
    <row r="21">
      <c r="C21" s="6" t="inlineStr">
        <is>
          <t>Repairs &amp; Maintenance</t>
        </is>
      </c>
      <c r="D21" s="19" t="n">
        <v>716000</v>
      </c>
      <c r="E21" s="19" t="n">
        <v>737480</v>
      </c>
      <c r="F21" s="19" t="n">
        <v>759604</v>
      </c>
      <c r="G21" s="19" t="n">
        <v>782393</v>
      </c>
      <c r="H21" s="19" t="n">
        <v>805864</v>
      </c>
      <c r="I21" s="19" t="n">
        <v>830040</v>
      </c>
      <c r="J21" s="19" t="n">
        <v>854941</v>
      </c>
      <c r="K21" s="19" t="n">
        <v>880590</v>
      </c>
      <c r="L21" s="19" t="n">
        <v>907007</v>
      </c>
      <c r="M21" s="19" t="n">
        <v>934218</v>
      </c>
      <c r="N21" s="19" t="n">
        <v>962244</v>
      </c>
    </row>
    <row r="22">
      <c r="C22" s="6" t="inlineStr">
        <is>
          <t>Utilities</t>
        </is>
      </c>
      <c r="D22" s="19" t="n">
        <v>966600</v>
      </c>
      <c r="E22" s="19" t="n">
        <v>995598</v>
      </c>
      <c r="F22" s="19" t="n">
        <v>1025466</v>
      </c>
      <c r="G22" s="19" t="n">
        <v>1056230</v>
      </c>
      <c r="H22" s="19" t="n">
        <v>1087917</v>
      </c>
      <c r="I22" s="19" t="n">
        <v>1120554</v>
      </c>
      <c r="J22" s="19" t="n">
        <v>1154171</v>
      </c>
      <c r="K22" s="19" t="n">
        <v>1188796</v>
      </c>
      <c r="L22" s="19" t="n">
        <v>1224460</v>
      </c>
      <c r="M22" s="19" t="n">
        <v>1261194</v>
      </c>
      <c r="N22" s="19" t="n">
        <v>1299030</v>
      </c>
    </row>
    <row r="23">
      <c r="C23" s="6" t="inlineStr">
        <is>
          <t>General &amp; Administrative</t>
        </is>
      </c>
      <c r="D23" s="19" t="n">
        <v>358000</v>
      </c>
      <c r="E23" s="19" t="n">
        <v>368740</v>
      </c>
      <c r="F23" s="19" t="n">
        <v>379802</v>
      </c>
      <c r="G23" s="19" t="n">
        <v>391196</v>
      </c>
      <c r="H23" s="19" t="n">
        <v>402932</v>
      </c>
      <c r="I23" s="19" t="n">
        <v>415020</v>
      </c>
      <c r="J23" s="19" t="n">
        <v>427471</v>
      </c>
      <c r="K23" s="19" t="n">
        <v>440295</v>
      </c>
      <c r="L23" s="19" t="n">
        <v>453504</v>
      </c>
      <c r="M23" s="19" t="n">
        <v>467109</v>
      </c>
      <c r="N23" s="19" t="n">
        <v>481122</v>
      </c>
    </row>
    <row r="24">
      <c r="C24" s="6" t="inlineStr">
        <is>
          <t>Marketing &amp; Turnover</t>
        </is>
      </c>
      <c r="D24" s="19" t="n">
        <v>286400</v>
      </c>
      <c r="E24" s="19" t="n">
        <v>294992</v>
      </c>
      <c r="F24" s="19" t="n">
        <v>303842</v>
      </c>
      <c r="G24" s="19" t="n">
        <v>312957</v>
      </c>
      <c r="H24" s="19" t="n">
        <v>322346</v>
      </c>
      <c r="I24" s="19" t="n">
        <v>332016</v>
      </c>
      <c r="J24" s="19" t="n">
        <v>341977</v>
      </c>
      <c r="K24" s="19" t="n">
        <v>352236</v>
      </c>
      <c r="L24" s="19" t="n">
        <v>362803</v>
      </c>
      <c r="M24" s="19" t="n">
        <v>373687</v>
      </c>
      <c r="N24" s="19" t="n">
        <v>384898</v>
      </c>
    </row>
    <row r="25">
      <c r="C25" s="6" t="inlineStr">
        <is>
          <t>Payroll / On-Site Staff</t>
        </is>
      </c>
      <c r="D25" s="19" t="n">
        <v>1288800</v>
      </c>
      <c r="E25" s="19" t="n">
        <v>1327464</v>
      </c>
      <c r="F25" s="19" t="n">
        <v>1367288</v>
      </c>
      <c r="G25" s="19" t="n">
        <v>1408307</v>
      </c>
      <c r="H25" s="19" t="n">
        <v>1450556</v>
      </c>
      <c r="I25" s="19" t="n">
        <v>1494072</v>
      </c>
      <c r="J25" s="19" t="n">
        <v>1538895</v>
      </c>
      <c r="K25" s="19" t="n">
        <v>1585061</v>
      </c>
      <c r="L25" s="19" t="n">
        <v>1632613</v>
      </c>
      <c r="M25" s="19" t="n">
        <v>1681592</v>
      </c>
      <c r="N25" s="19" t="n">
        <v>1732039</v>
      </c>
    </row>
    <row r="26">
      <c r="C26" s="6" t="inlineStr">
        <is>
          <t>Replacement Reserves</t>
        </is>
      </c>
      <c r="D26" s="19" t="n">
        <v>214800</v>
      </c>
      <c r="E26" s="19" t="n">
        <v>221244</v>
      </c>
      <c r="F26" s="19" t="n">
        <v>227881</v>
      </c>
      <c r="G26" s="19" t="n">
        <v>234718</v>
      </c>
      <c r="H26" s="19" t="n">
        <v>241759</v>
      </c>
      <c r="I26" s="19" t="n">
        <v>249012</v>
      </c>
      <c r="J26" s="19" t="n">
        <v>256482</v>
      </c>
      <c r="K26" s="19" t="n">
        <v>264177</v>
      </c>
      <c r="L26" s="19" t="n">
        <v>272102</v>
      </c>
      <c r="M26" s="19" t="n">
        <v>280265</v>
      </c>
      <c r="N26" s="19" t="n">
        <v>288673</v>
      </c>
    </row>
    <row r="27">
      <c r="C27" s="20" t="inlineStr">
        <is>
          <t>TOTAL OPERATING EXPENSES</t>
        </is>
      </c>
      <c r="D27" s="21" t="n">
        <v>6150319</v>
      </c>
      <c r="E27" s="21" t="n">
        <v>7760851</v>
      </c>
      <c r="F27" s="21" t="n">
        <v>8303010</v>
      </c>
      <c r="G27" s="21" t="n">
        <v>8533704</v>
      </c>
      <c r="H27" s="21" t="n">
        <v>8770883</v>
      </c>
      <c r="I27" s="21" t="n">
        <v>9014737</v>
      </c>
      <c r="J27" s="21" t="n">
        <v>9265460</v>
      </c>
      <c r="K27" s="21" t="n">
        <v>9523239</v>
      </c>
      <c r="L27" s="21" t="n">
        <v>9788278</v>
      </c>
      <c r="M27" s="21" t="n">
        <v>10060785</v>
      </c>
      <c r="N27" s="21" t="n">
        <v>10340969</v>
      </c>
    </row>
    <row r="29">
      <c r="C29" s="35" t="inlineStr">
        <is>
          <t>NET OPERATING INCOME</t>
        </is>
      </c>
      <c r="D29" s="36" t="n">
        <v>1559343</v>
      </c>
      <c r="E29" s="36" t="n">
        <v>9005643</v>
      </c>
      <c r="F29" s="36" t="n">
        <v>10880925</v>
      </c>
      <c r="G29" s="36" t="n">
        <v>11111883</v>
      </c>
      <c r="H29" s="36" t="n">
        <v>11347536</v>
      </c>
      <c r="I29" s="36" t="n">
        <v>11587969</v>
      </c>
      <c r="J29" s="36" t="n">
        <v>11833270</v>
      </c>
      <c r="K29" s="36" t="n">
        <v>12083533</v>
      </c>
      <c r="L29" s="36" t="n">
        <v>12338847</v>
      </c>
      <c r="M29" s="36" t="n">
        <v>12599306</v>
      </c>
      <c r="N29" s="36" t="n">
        <v>12865010</v>
      </c>
    </row>
    <row r="30">
      <c r="C30" s="6" t="inlineStr">
        <is>
          <t>Yield on Cost</t>
        </is>
      </c>
      <c r="D30" s="37" t="n">
        <v>0.003118686</v>
      </c>
      <c r="E30" s="37" t="n">
        <v>0.018011286</v>
      </c>
      <c r="F30" s="37" t="n">
        <v>0.02176185</v>
      </c>
      <c r="G30" s="37" t="n">
        <v>0.022223766</v>
      </c>
      <c r="H30" s="37" t="n">
        <v>0.022695072</v>
      </c>
      <c r="I30" s="37" t="n">
        <v>0.023175938</v>
      </c>
      <c r="J30" s="37" t="n">
        <v>0.02366654</v>
      </c>
      <c r="K30" s="37" t="n">
        <v>0.024167066</v>
      </c>
      <c r="L30" s="37" t="n">
        <v>0.024677694</v>
      </c>
      <c r="M30" s="37" t="n">
        <v>0.025198612</v>
      </c>
      <c r="N30" s="37" t="n">
        <v>0.02573002</v>
      </c>
    </row>
    <row r="31">
      <c r="C31" s="6" t="inlineStr">
        <is>
          <t>Debt Service Coverage Ratio</t>
        </is>
      </c>
    </row>
    <row r="32">
      <c r="C32" s="12" t="inlineStr">
        <is>
          <t>DSCR calculated on Waterfall tab based on permanent loan sizing</t>
        </is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002ECC71"/>
    <outlinePr summaryBelow="1" summaryRight="1"/>
    <pageSetUpPr fitToPage="1"/>
  </sheetPr>
  <dimension ref="B2:E5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42" customWidth="1" min="2" max="2"/>
    <col width="22" customWidth="1" min="3" max="3"/>
    <col width="8" customWidth="1" min="4" max="4"/>
    <col width="40" customWidth="1" min="5" max="5"/>
  </cols>
  <sheetData>
    <row r="2">
      <c r="B2" s="1" t="inlineStr">
        <is>
          <t>NJ ASPIRE TAX CREDIT ANALYSIS</t>
        </is>
      </c>
    </row>
    <row r="3">
      <c r="B3" s="12" t="inlineStr">
        <is>
          <t>New Jersey Economic Recovery Act - Aspire Program (Enhanced Area: Newark)</t>
        </is>
      </c>
    </row>
    <row r="5">
      <c r="B5" s="4" t="inlineStr">
        <is>
          <t>PROGRAM PARAMETERS</t>
        </is>
      </c>
      <c r="C5" s="5" t="n"/>
      <c r="D5" s="5" t="n"/>
    </row>
    <row r="6">
      <c r="B6" s="6" t="inlineStr">
        <is>
          <t>Municipality</t>
        </is>
      </c>
      <c r="C6" s="28" t="inlineStr">
        <is>
          <t>Newark, NJ</t>
        </is>
      </c>
      <c r="E6" s="12" t="inlineStr">
        <is>
          <t>Enhanced Area municipality</t>
        </is>
      </c>
    </row>
    <row r="7">
      <c r="B7" s="6" t="inlineStr">
        <is>
          <t>Location Tier</t>
        </is>
      </c>
      <c r="C7" s="28" t="inlineStr">
        <is>
          <t>Enhanced Area (QIT)</t>
        </is>
      </c>
      <c r="E7" s="12" t="inlineStr">
        <is>
          <t>Qualified Incentive Tract</t>
        </is>
      </c>
    </row>
    <row r="8">
      <c r="B8" s="6" t="inlineStr">
        <is>
          <t>Maximum Credit % of Eligible Costs</t>
        </is>
      </c>
      <c r="C8" s="16" t="n">
        <v>0.6</v>
      </c>
      <c r="E8" s="12" t="inlineStr">
        <is>
          <t>Up to 60% for Enhanced Area</t>
        </is>
      </c>
    </row>
    <row r="9">
      <c r="B9" s="6" t="inlineStr">
        <is>
          <t>Per-Project Credit Cap</t>
        </is>
      </c>
      <c r="C9" s="15" t="n">
        <v>90000000</v>
      </c>
      <c r="E9" s="12" t="inlineStr">
        <is>
          <t>$90M maximum</t>
        </is>
      </c>
    </row>
    <row r="10">
      <c r="B10" s="6" t="inlineStr">
        <is>
          <t>Credit Duration</t>
        </is>
      </c>
      <c r="C10" s="28" t="inlineStr">
        <is>
          <t>10 years</t>
        </is>
      </c>
      <c r="E10" s="12" t="inlineStr">
        <is>
          <t>Equal annual installments</t>
        </is>
      </c>
    </row>
    <row r="11">
      <c r="B11" s="6" t="inlineStr">
        <is>
          <t>Minimum Eligible Project Cost</t>
        </is>
      </c>
      <c r="C11" s="15" t="n">
        <v>17500000</v>
      </c>
      <c r="E11" s="12" t="inlineStr">
        <is>
          <t>Pop &gt; 200,000</t>
        </is>
      </c>
    </row>
    <row r="12">
      <c r="B12" s="6" t="inlineStr">
        <is>
          <t>Affordable Housing Requirement</t>
        </is>
      </c>
      <c r="C12" s="28" t="inlineStr">
        <is>
          <t>20% of units</t>
        </is>
      </c>
      <c r="E12" s="12" t="inlineStr">
        <is>
          <t>Mandatory for residential</t>
        </is>
      </c>
    </row>
    <row r="13">
      <c r="B13" s="6" t="inlineStr">
        <is>
          <t>Green Building Standard</t>
        </is>
      </c>
      <c r="C13" s="28" t="inlineStr">
        <is>
          <t>LEED Silver or equiv.</t>
        </is>
      </c>
      <c r="E13" s="12" t="inlineStr">
        <is>
          <t>Mandatory compliance</t>
        </is>
      </c>
    </row>
    <row r="15">
      <c r="B15" s="4" t="inlineStr">
        <is>
          <t>ELIGIBLE COST CALCULATION</t>
        </is>
      </c>
      <c r="C15" s="5" t="n"/>
      <c r="D15" s="5" t="n"/>
    </row>
    <row r="16">
      <c r="B16" s="6" t="inlineStr">
        <is>
          <t>Total Development Cost</t>
        </is>
      </c>
      <c r="C16" s="7" t="n">
        <v>395733600</v>
      </c>
      <c r="E16" s="12" t="inlineStr">
        <is>
          <t>From Dev Budget tab</t>
        </is>
      </c>
    </row>
    <row r="17">
      <c r="B17" s="6" t="inlineStr">
        <is>
          <t>Less: Land Acquisition (Excluded)</t>
        </is>
      </c>
      <c r="C17" s="7" t="n">
        <v>-25000000</v>
      </c>
      <c r="E17" s="12" t="inlineStr">
        <is>
          <t>Land costs not eligible</t>
        </is>
      </c>
    </row>
    <row r="18">
      <c r="B18" s="6" t="inlineStr">
        <is>
          <t>Eligible Project Costs (Before Cap)</t>
        </is>
      </c>
      <c r="C18" s="7" t="n">
        <v>370733600</v>
      </c>
      <c r="E18" s="12" t="inlineStr">
        <is>
          <t>Hard + soft + financing + fee</t>
        </is>
      </c>
    </row>
    <row r="19">
      <c r="B19" s="6" t="inlineStr">
        <is>
          <t>Soft Cost Cap Check (20% of Total)</t>
        </is>
      </c>
      <c r="C19" s="7" t="n">
        <v>74146720</v>
      </c>
      <c r="E19" s="12" t="inlineStr">
        <is>
          <t>Soft costs cannot exceed 20%</t>
        </is>
      </c>
    </row>
    <row r="21">
      <c r="B21" s="4" t="inlineStr">
        <is>
          <t>CREDIT CALCULATION</t>
        </is>
      </c>
      <c r="C21" s="5" t="n"/>
      <c r="D21" s="5" t="n"/>
    </row>
    <row r="22">
      <c r="B22" s="6" t="inlineStr">
        <is>
          <t>Applied Credit Percentage</t>
        </is>
      </c>
      <c r="C22" s="16" t="n">
        <v>0.45</v>
      </c>
      <c r="E22" s="12" t="inlineStr">
        <is>
          <t>Conservative estimate (max 60%)</t>
        </is>
      </c>
    </row>
    <row r="23">
      <c r="B23" s="6" t="inlineStr">
        <is>
          <t>Gross Credit Amount (Calculated)</t>
        </is>
      </c>
      <c r="C23" s="19" t="n">
        <v>166830120</v>
      </c>
      <c r="E23" s="12">
        <f> Eligible Costs x Credit %</f>
        <v/>
      </c>
    </row>
    <row r="24">
      <c r="B24" s="6" t="inlineStr">
        <is>
          <t>Per-Project Cap Applied</t>
        </is>
      </c>
      <c r="C24" s="19" t="n">
        <v>90000000</v>
      </c>
      <c r="E24" s="12" t="inlineStr">
        <is>
          <t>Cap if calculated exceeds $90M</t>
        </is>
      </c>
    </row>
    <row r="25">
      <c r="B25" s="22" t="inlineStr">
        <is>
          <t>TOTAL ASPIRE CREDIT AWARD</t>
        </is>
      </c>
      <c r="C25" s="38" t="n">
        <v>90000000</v>
      </c>
      <c r="E25" s="12" t="inlineStr">
        <is>
          <t>Lesser of calculated or cap</t>
        </is>
      </c>
    </row>
    <row r="27">
      <c r="B27" s="6" t="inlineStr">
        <is>
          <t>Annual Credit (10-Year)</t>
        </is>
      </c>
      <c r="C27" s="19" t="n">
        <v>9000000</v>
      </c>
      <c r="E27" s="12">
        <f> Total / 10 years</f>
        <v/>
      </c>
    </row>
    <row r="28">
      <c r="B28" s="6" t="inlineStr">
        <is>
          <t>Credit Sale / Transfer Rate</t>
        </is>
      </c>
      <c r="C28" s="16" t="n">
        <v>0.88</v>
      </c>
      <c r="E28" s="12" t="inlineStr">
        <is>
          <t>Market rate 85-92 cents</t>
        </is>
      </c>
    </row>
    <row r="29">
      <c r="B29" s="22" t="inlineStr">
        <is>
          <t>NET ANNUAL PROCEEDS</t>
        </is>
      </c>
      <c r="C29" s="7" t="n">
        <v>7920000</v>
      </c>
      <c r="E29" s="12" t="inlineStr">
        <is>
          <t>After sale discount</t>
        </is>
      </c>
    </row>
    <row r="30">
      <c r="B30" s="22" t="inlineStr">
        <is>
          <t>NET TOTAL PROCEEDS (10-Year)</t>
        </is>
      </c>
      <c r="C30" s="39" t="n">
        <v>79200000</v>
      </c>
      <c r="E30" s="12" t="inlineStr">
        <is>
          <t>Total monetizable value</t>
        </is>
      </c>
    </row>
    <row r="32">
      <c r="B32" s="4" t="inlineStr">
        <is>
          <t>ANNUAL CREDIT SCHEDULE</t>
        </is>
      </c>
      <c r="C32" s="5" t="n"/>
      <c r="D32" s="5" t="n"/>
    </row>
    <row r="33">
      <c r="B33" s="18" t="inlineStr">
        <is>
          <t>Year</t>
        </is>
      </c>
      <c r="C33" s="18" t="inlineStr">
        <is>
          <t>Annual Credit</t>
        </is>
      </c>
      <c r="D33" s="18" t="inlineStr">
        <is>
          <t>Net Proceeds</t>
        </is>
      </c>
    </row>
    <row r="34">
      <c r="B34" s="29" t="inlineStr">
        <is>
          <t>Year 1</t>
        </is>
      </c>
      <c r="C34" s="19" t="n">
        <v>9000000</v>
      </c>
      <c r="D34" s="19" t="n">
        <v>7920000</v>
      </c>
    </row>
    <row r="35">
      <c r="B35" s="29" t="inlineStr">
        <is>
          <t>Year 2</t>
        </is>
      </c>
      <c r="C35" s="19" t="n">
        <v>9000000</v>
      </c>
      <c r="D35" s="19" t="n">
        <v>7920000</v>
      </c>
    </row>
    <row r="36">
      <c r="B36" s="29" t="inlineStr">
        <is>
          <t>Year 3</t>
        </is>
      </c>
      <c r="C36" s="19" t="n">
        <v>9000000</v>
      </c>
      <c r="D36" s="19" t="n">
        <v>7920000</v>
      </c>
    </row>
    <row r="37">
      <c r="B37" s="29" t="inlineStr">
        <is>
          <t>Year 4</t>
        </is>
      </c>
      <c r="C37" s="19" t="n">
        <v>9000000</v>
      </c>
      <c r="D37" s="19" t="n">
        <v>7920000</v>
      </c>
    </row>
    <row r="38">
      <c r="B38" s="29" t="inlineStr">
        <is>
          <t>Year 5</t>
        </is>
      </c>
      <c r="C38" s="19" t="n">
        <v>9000000</v>
      </c>
      <c r="D38" s="19" t="n">
        <v>7920000</v>
      </c>
    </row>
    <row r="39">
      <c r="B39" s="29" t="inlineStr">
        <is>
          <t>Year 6</t>
        </is>
      </c>
      <c r="C39" s="19" t="n">
        <v>9000000</v>
      </c>
      <c r="D39" s="19" t="n">
        <v>7920000</v>
      </c>
    </row>
    <row r="40">
      <c r="B40" s="29" t="inlineStr">
        <is>
          <t>Year 7</t>
        </is>
      </c>
      <c r="C40" s="19" t="n">
        <v>9000000</v>
      </c>
      <c r="D40" s="19" t="n">
        <v>7920000</v>
      </c>
    </row>
    <row r="41">
      <c r="B41" s="29" t="inlineStr">
        <is>
          <t>Year 8</t>
        </is>
      </c>
      <c r="C41" s="19" t="n">
        <v>9000000</v>
      </c>
      <c r="D41" s="19" t="n">
        <v>7920000</v>
      </c>
    </row>
    <row r="42">
      <c r="B42" s="29" t="inlineStr">
        <is>
          <t>Year 9</t>
        </is>
      </c>
      <c r="C42" s="19" t="n">
        <v>9000000</v>
      </c>
      <c r="D42" s="19" t="n">
        <v>7920000</v>
      </c>
    </row>
    <row r="43">
      <c r="B43" s="29" t="inlineStr">
        <is>
          <t>Year 10</t>
        </is>
      </c>
      <c r="C43" s="19" t="n">
        <v>9000000</v>
      </c>
      <c r="D43" s="19" t="n">
        <v>7920000</v>
      </c>
    </row>
    <row r="44">
      <c r="B44" s="30" t="inlineStr">
        <is>
          <t>TOTAL</t>
        </is>
      </c>
      <c r="C44" s="21" t="n">
        <v>90000000</v>
      </c>
      <c r="D44" s="21" t="n">
        <v>79200000</v>
      </c>
    </row>
    <row r="46">
      <c r="B46" s="4" t="inlineStr">
        <is>
          <t>ASPIRE COMPLIANCE REQUIREMENTS</t>
        </is>
      </c>
      <c r="C46" s="5" t="n"/>
      <c r="D46" s="5" t="n"/>
    </row>
    <row r="47">
      <c r="B47" s="3" t="inlineStr">
        <is>
          <t xml:space="preserve">  20% affordable housing set-aside (30-year deed restriction)</t>
        </is>
      </c>
    </row>
    <row r="48">
      <c r="B48" s="3" t="inlineStr">
        <is>
          <t xml:space="preserve">  LEED Silver or equivalent green building certification</t>
        </is>
      </c>
    </row>
    <row r="49">
      <c r="B49" s="3" t="inlineStr">
        <is>
          <t xml:space="preserve">  Located within 0.5 miles of mass transit (NJ Transit / PATH)</t>
        </is>
      </c>
    </row>
    <row r="50">
      <c r="B50" s="3" t="inlineStr">
        <is>
          <t xml:space="preserve">  Community Benefits Agreement (CBA) required</t>
        </is>
      </c>
    </row>
    <row r="51">
      <c r="B51" s="3" t="inlineStr">
        <is>
          <t xml:space="preserve">  Mid-cycle financial review at Year 3</t>
        </is>
      </c>
    </row>
    <row r="52">
      <c r="B52" s="3" t="inlineStr">
        <is>
          <t xml:space="preserve">  Annual compliance reporting to NJEDA</t>
        </is>
      </c>
    </row>
    <row r="53">
      <c r="B53" s="3" t="inlineStr">
        <is>
          <t xml:space="preserve">  Financing gap must be demonstrated via independent analysis</t>
        </is>
      </c>
    </row>
    <row r="54">
      <c r="B54" s="3" t="inlineStr">
        <is>
          <t xml:space="preserve">  Net benefit test for commercial portion</t>
        </is>
      </c>
    </row>
    <row r="55">
      <c r="B55" s="3" t="inlineStr">
        <is>
          <t xml:space="preserve">  Minimum 3BR units required in affordable set-aside</t>
        </is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tabColor rgb="009B59B6"/>
    <outlinePr summaryBelow="1" summaryRight="1"/>
    <pageSetUpPr fitToPage="1"/>
  </sheetPr>
  <dimension ref="B2:N5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38" customWidth="1" min="2" max="2"/>
    <col width="20" customWidth="1" min="3" max="3"/>
    <col width="5" customWidth="1" min="4" max="4"/>
    <col width="38" customWidth="1" min="5" max="5"/>
    <col width="20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</cols>
  <sheetData>
    <row r="2">
      <c r="B2" s="1" t="inlineStr">
        <is>
          <t>SPONSOR EQUITY WATERFALL ANALYSIS</t>
        </is>
      </c>
    </row>
    <row r="3">
      <c r="B3" s="12" t="inlineStr">
        <is>
          <t>50/50 GP/LP equity split (adjustable on Inputs tab). Waterfall with preferred return and tiered promote.</t>
        </is>
      </c>
    </row>
    <row r="5">
      <c r="B5" s="4" t="inlineStr">
        <is>
          <t>CAPITAL STRUCTURE</t>
        </is>
      </c>
      <c r="C5" s="5" t="n"/>
    </row>
    <row r="6">
      <c r="B6" s="6" t="inlineStr">
        <is>
          <t>Total Development Cost</t>
        </is>
      </c>
      <c r="C6" s="19" t="n">
        <v>395733600</v>
      </c>
    </row>
    <row r="8">
      <c r="B8" s="6" t="inlineStr">
        <is>
          <t>Stabilized NOI (Year 3)</t>
        </is>
      </c>
      <c r="C8" s="19" t="n">
        <v>10880925</v>
      </c>
      <c r="E8" s="12" t="inlineStr">
        <is>
          <t>From Operating Pro Forma</t>
        </is>
      </c>
    </row>
    <row r="9">
      <c r="B9" s="6" t="inlineStr">
        <is>
          <t>Going-In Cap Rate</t>
        </is>
      </c>
      <c r="C9" s="37" t="n">
        <v>0.05</v>
      </c>
    </row>
    <row r="10">
      <c r="B10" s="6" t="inlineStr">
        <is>
          <t>Implied Property Value</t>
        </is>
      </c>
      <c r="C10" s="19" t="n">
        <v>217618500</v>
      </c>
      <c r="E10" s="12">
        <f> NOI / Cap Rate</f>
        <v/>
      </c>
    </row>
    <row r="12">
      <c r="B12" s="22" t="inlineStr">
        <is>
          <t>Permanent Loan Amount</t>
        </is>
      </c>
      <c r="C12" s="7" t="n">
        <v>120989803</v>
      </c>
      <c r="E12" s="12" t="inlineStr">
        <is>
          <t>Constrained by LTV &amp; DSCR</t>
        </is>
      </c>
    </row>
    <row r="13">
      <c r="B13" s="6" t="inlineStr">
        <is>
          <t>Loan-to-Value</t>
        </is>
      </c>
      <c r="C13" s="23" t="n">
        <v>0.5559720474132485</v>
      </c>
    </row>
    <row r="14">
      <c r="B14" s="6" t="inlineStr">
        <is>
          <t>Annual Debt Service</t>
        </is>
      </c>
      <c r="C14" s="19" t="n">
        <v>8704740</v>
      </c>
    </row>
    <row r="15">
      <c r="B15" s="6" t="inlineStr">
        <is>
          <t>DSCR</t>
        </is>
      </c>
      <c r="C15" s="24" t="n">
        <v>1.25000000126175</v>
      </c>
      <c r="E15" s="12" t="inlineStr">
        <is>
          <t>Min 1.25x required</t>
        </is>
      </c>
    </row>
    <row r="17">
      <c r="B17" s="40" t="inlineStr">
        <is>
          <t>TOTAL EQUITY REQUIRED</t>
        </is>
      </c>
      <c r="C17" s="38" t="n">
        <v>274743797</v>
      </c>
      <c r="E17" s="12">
        <f> TDC - Perm Loan</f>
        <v/>
      </c>
    </row>
    <row r="18">
      <c r="B18" s="6" t="inlineStr">
        <is>
          <t>Less: Aspire Credit Proceeds</t>
        </is>
      </c>
      <c r="C18" s="19" t="n">
        <v>-79200000</v>
      </c>
      <c r="E18" s="12" t="inlineStr">
        <is>
          <t>Net monetized credits</t>
        </is>
      </c>
    </row>
    <row r="19">
      <c r="B19" s="40" t="inlineStr">
        <is>
          <t>NET EQUITY REQUIRED</t>
        </is>
      </c>
      <c r="C19" s="38" t="n">
        <v>195543797</v>
      </c>
      <c r="E19" s="12" t="inlineStr">
        <is>
          <t>After Aspire offset</t>
        </is>
      </c>
    </row>
    <row r="21">
      <c r="B21" s="22" t="inlineStr">
        <is>
          <t>Sponsor (GP) Equity</t>
        </is>
      </c>
      <c r="C21" s="7" t="n">
        <v>97771898</v>
      </c>
      <c r="E21" s="12" t="inlineStr">
        <is>
          <t>50% share</t>
        </is>
      </c>
    </row>
    <row r="22">
      <c r="B22" s="22" t="inlineStr">
        <is>
          <t>LP Equity</t>
        </is>
      </c>
      <c r="C22" s="7" t="n">
        <v>97771898</v>
      </c>
      <c r="E22" s="12" t="inlineStr">
        <is>
          <t>50% share</t>
        </is>
      </c>
    </row>
    <row r="24">
      <c r="B24" s="4" t="inlineStr">
        <is>
          <t>WATERFALL STRUCTURE</t>
        </is>
      </c>
      <c r="C24" s="5" t="n"/>
    </row>
    <row r="25">
      <c r="B25" s="6" t="inlineStr">
        <is>
          <t>Tier 0: Return of Capital</t>
        </is>
      </c>
      <c r="C25" s="28" t="inlineStr">
        <is>
          <t>100% pro rata</t>
        </is>
      </c>
      <c r="E25" s="12" t="inlineStr">
        <is>
          <t>Return all invested equity first</t>
        </is>
      </c>
    </row>
    <row r="26">
      <c r="B26" s="6" t="inlineStr">
        <is>
          <t>Tier 1: Preferred Return (8%)</t>
        </is>
      </c>
      <c r="C26" s="28" t="inlineStr">
        <is>
          <t>100% to equity holders pro rata</t>
        </is>
      </c>
      <c r="E26" s="12" t="inlineStr">
        <is>
          <t>Cumulative, non-compounding</t>
        </is>
      </c>
    </row>
    <row r="27">
      <c r="B27" s="6" t="inlineStr">
        <is>
          <t>Tier 2: Catch-Up to 12% IRR</t>
        </is>
      </c>
      <c r="C27" s="28" t="inlineStr">
        <is>
          <t>80% LP / 20% GP</t>
        </is>
      </c>
      <c r="E27" s="12" t="inlineStr">
        <is>
          <t>GP promote begins</t>
        </is>
      </c>
    </row>
    <row r="28">
      <c r="B28" s="6" t="inlineStr">
        <is>
          <t>Tier 3: Above 12% to 18% IRR</t>
        </is>
      </c>
      <c r="C28" s="28" t="inlineStr">
        <is>
          <t>70% LP / 30% GP</t>
        </is>
      </c>
      <c r="E28" s="12" t="inlineStr">
        <is>
          <t>Increased GP promote</t>
        </is>
      </c>
    </row>
    <row r="29">
      <c r="B29" s="6" t="inlineStr">
        <is>
          <t>Tier 4: Above 18% IRR</t>
        </is>
      </c>
      <c r="C29" s="28" t="inlineStr">
        <is>
          <t>60% LP / 40% GP</t>
        </is>
      </c>
      <c r="E29" s="12" t="inlineStr">
        <is>
          <t>Maximum GP promote</t>
        </is>
      </c>
    </row>
    <row r="31">
      <c r="B31" s="4" t="inlineStr">
        <is>
          <t>ANNUAL CASH FLOW PROJECTION</t>
        </is>
      </c>
      <c r="C31" s="5" t="n"/>
      <c r="D31" s="5" t="n"/>
      <c r="E31" s="5" t="n"/>
      <c r="F31" s="5" t="n"/>
    </row>
    <row r="33">
      <c r="B33" s="18" t="inlineStr"/>
      <c r="C33" s="18" t="inlineStr">
        <is>
          <t>Year 0</t>
        </is>
      </c>
      <c r="D33" s="18" t="inlineStr">
        <is>
          <t>Year 1</t>
        </is>
      </c>
      <c r="E33" s="18" t="inlineStr">
        <is>
          <t>Year 2</t>
        </is>
      </c>
      <c r="F33" s="18" t="inlineStr">
        <is>
          <t>Year 3</t>
        </is>
      </c>
      <c r="G33" s="18" t="inlineStr">
        <is>
          <t>Year 4</t>
        </is>
      </c>
      <c r="H33" s="18" t="inlineStr">
        <is>
          <t>Year 5</t>
        </is>
      </c>
      <c r="I33" s="18" t="inlineStr">
        <is>
          <t>Year 6</t>
        </is>
      </c>
      <c r="J33" s="18" t="inlineStr">
        <is>
          <t>Year 7</t>
        </is>
      </c>
      <c r="K33" s="18" t="inlineStr">
        <is>
          <t>Year 8</t>
        </is>
      </c>
      <c r="L33" s="18" t="inlineStr">
        <is>
          <t>Year 9</t>
        </is>
      </c>
      <c r="M33" s="18" t="inlineStr">
        <is>
          <t>Year 10</t>
        </is>
      </c>
      <c r="N33" s="18" t="inlineStr">
        <is>
          <t>Year 10 (Sale)</t>
        </is>
      </c>
    </row>
    <row r="34">
      <c r="B34" s="6" t="inlineStr">
        <is>
          <t>Net Operating Income</t>
        </is>
      </c>
      <c r="C34" s="19" t="n">
        <v>0</v>
      </c>
      <c r="D34" s="19" t="n">
        <v>1559343</v>
      </c>
      <c r="E34" s="19" t="n">
        <v>9005643</v>
      </c>
      <c r="F34" s="19" t="n">
        <v>10880925</v>
      </c>
      <c r="G34" s="19" t="n">
        <v>11111883</v>
      </c>
      <c r="H34" s="19" t="n">
        <v>11347536</v>
      </c>
      <c r="I34" s="19" t="n">
        <v>11587969</v>
      </c>
      <c r="J34" s="19" t="n">
        <v>11833270</v>
      </c>
      <c r="K34" s="19" t="n">
        <v>12083533</v>
      </c>
      <c r="L34" s="19" t="n">
        <v>12338847</v>
      </c>
      <c r="M34" s="19" t="n">
        <v>12599306</v>
      </c>
      <c r="N34" s="19" t="n">
        <v>12865010</v>
      </c>
    </row>
    <row r="35">
      <c r="B35" s="6" t="inlineStr">
        <is>
          <t>Less: Debt Service</t>
        </is>
      </c>
      <c r="C35" s="19" t="n">
        <v>0</v>
      </c>
      <c r="D35" s="19" t="n">
        <v>-8704740</v>
      </c>
      <c r="E35" s="19" t="n">
        <v>-8704740</v>
      </c>
      <c r="F35" s="19" t="n">
        <v>-8704740</v>
      </c>
      <c r="G35" s="19" t="n">
        <v>-8704740</v>
      </c>
      <c r="H35" s="19" t="n">
        <v>-8704740</v>
      </c>
      <c r="I35" s="19" t="n">
        <v>-8704740</v>
      </c>
      <c r="J35" s="19" t="n">
        <v>-8704740</v>
      </c>
      <c r="K35" s="19" t="n">
        <v>-8704740</v>
      </c>
      <c r="L35" s="19" t="n">
        <v>-8704740</v>
      </c>
      <c r="M35" s="19" t="n">
        <v>-8704740</v>
      </c>
      <c r="N35" s="19" t="n">
        <v>-8704740</v>
      </c>
    </row>
    <row r="36">
      <c r="B36" s="6" t="inlineStr">
        <is>
          <t>Aspire Credit Proceeds</t>
        </is>
      </c>
      <c r="C36" s="19" t="n">
        <v>0</v>
      </c>
      <c r="D36" s="19" t="n">
        <v>7920000</v>
      </c>
      <c r="E36" s="19" t="n">
        <v>7920000</v>
      </c>
      <c r="F36" s="19" t="n">
        <v>7920000</v>
      </c>
      <c r="G36" s="19" t="n">
        <v>7920000</v>
      </c>
      <c r="H36" s="19" t="n">
        <v>7920000</v>
      </c>
      <c r="I36" s="19" t="n">
        <v>7920000</v>
      </c>
      <c r="J36" s="19" t="n">
        <v>7920000</v>
      </c>
      <c r="K36" s="19" t="n">
        <v>7920000</v>
      </c>
      <c r="L36" s="19" t="n">
        <v>7920000</v>
      </c>
      <c r="M36" s="19" t="n">
        <v>7920000</v>
      </c>
      <c r="N36" s="19" t="n">
        <v>0</v>
      </c>
    </row>
    <row r="37">
      <c r="B37" s="41" t="inlineStr">
        <is>
          <t>LEVERED CASH FLOW</t>
        </is>
      </c>
      <c r="C37" s="42" t="n">
        <v>-195543797</v>
      </c>
      <c r="D37" s="42" t="n">
        <v>774603</v>
      </c>
      <c r="E37" s="42" t="n">
        <v>8220903</v>
      </c>
      <c r="F37" s="42" t="n">
        <v>10096185</v>
      </c>
      <c r="G37" s="42" t="n">
        <v>10327143</v>
      </c>
      <c r="H37" s="42" t="n">
        <v>10562796</v>
      </c>
      <c r="I37" s="42" t="n">
        <v>10803229</v>
      </c>
      <c r="J37" s="42" t="n">
        <v>11048530</v>
      </c>
      <c r="K37" s="42" t="n">
        <v>11298793</v>
      </c>
      <c r="L37" s="42" t="n">
        <v>11554107</v>
      </c>
      <c r="M37" s="42" t="n">
        <v>11814566</v>
      </c>
      <c r="N37" s="42" t="n">
        <v>4160270</v>
      </c>
    </row>
    <row r="39">
      <c r="B39" s="4" t="inlineStr">
        <is>
          <t>EXIT / DISPOSITION (Year 10)</t>
        </is>
      </c>
      <c r="C39" s="5" t="n"/>
    </row>
    <row r="40">
      <c r="B40" s="6" t="inlineStr">
        <is>
          <t>Exit NOI (Year 11)</t>
        </is>
      </c>
      <c r="C40" s="19" t="n">
        <v>12865010</v>
      </c>
    </row>
    <row r="41">
      <c r="B41" s="6" t="inlineStr">
        <is>
          <t>Exit Cap Rate</t>
        </is>
      </c>
      <c r="C41" s="37" t="n">
        <v>0.0525</v>
      </c>
    </row>
    <row r="42">
      <c r="B42" s="6" t="inlineStr">
        <is>
          <t>Gross Sale Price</t>
        </is>
      </c>
      <c r="C42" s="19" t="n">
        <v>245047810</v>
      </c>
    </row>
    <row r="43">
      <c r="B43" s="6" t="inlineStr">
        <is>
          <t>Less: Disposition Costs (2%)</t>
        </is>
      </c>
      <c r="C43" s="19" t="n">
        <v>-4900956</v>
      </c>
    </row>
    <row r="44">
      <c r="B44" s="6" t="inlineStr">
        <is>
          <t>Less: NJ Transfer Tax (4.1%)</t>
        </is>
      </c>
      <c r="C44" s="19" t="n">
        <v>-10046960</v>
      </c>
    </row>
    <row r="45">
      <c r="B45" s="6" t="inlineStr">
        <is>
          <t>Less: Loan Payoff (Est. Balance)</t>
        </is>
      </c>
      <c r="C45" s="19" t="n">
        <v>-102841333</v>
      </c>
    </row>
    <row r="46">
      <c r="B46" s="40" t="inlineStr">
        <is>
          <t>NET SALE PROCEEDS TO EQUITY</t>
        </is>
      </c>
      <c r="C46" s="38" t="n">
        <v>127258561</v>
      </c>
    </row>
    <row r="48">
      <c r="B48" s="4" t="inlineStr">
        <is>
          <t>RETURN METRICS</t>
        </is>
      </c>
      <c r="C48" s="5" t="n"/>
    </row>
    <row r="49">
      <c r="B49" s="6" t="inlineStr">
        <is>
          <t>Unlevered IRR</t>
        </is>
      </c>
      <c r="C49" s="8" t="n">
        <v>0.00860213335072478</v>
      </c>
    </row>
    <row r="50">
      <c r="B50" s="6" t="inlineStr">
        <is>
          <t>Levered IRR (Project)</t>
        </is>
      </c>
      <c r="C50" s="8" t="n">
        <v>0.01739424566934725</v>
      </c>
    </row>
    <row r="51">
      <c r="B51" s="6" t="inlineStr">
        <is>
          <t>Equity Multiple</t>
        </is>
      </c>
      <c r="C51" s="9" t="n">
        <v>1.165568478758751</v>
      </c>
    </row>
    <row r="52">
      <c r="B52" s="6" t="inlineStr">
        <is>
          <t>Cash-on-Cash (Stabilized, Year 3)</t>
        </is>
      </c>
      <c r="C52" s="8" t="n">
        <v>0.05163132328866459</v>
      </c>
    </row>
    <row r="54">
      <c r="B54" s="22" t="inlineStr">
        <is>
          <t>Sponsor (GP) IRR</t>
        </is>
      </c>
      <c r="C54" s="8" t="n">
        <v>0.02000338251974933</v>
      </c>
    </row>
    <row r="55">
      <c r="B55" s="22" t="inlineStr">
        <is>
          <t>Sponsor Equity Multiple</t>
        </is>
      </c>
      <c r="C55" s="9" t="n">
        <v>1.282125326634626</v>
      </c>
    </row>
    <row r="56">
      <c r="B56" s="22" t="inlineStr">
        <is>
          <t>LP IRR</t>
        </is>
      </c>
      <c r="C56" s="8" t="n">
        <v>0.01565482110241252</v>
      </c>
    </row>
    <row r="57">
      <c r="B57" s="22" t="inlineStr">
        <is>
          <t>LP Equity Multiple</t>
        </is>
      </c>
      <c r="C57" s="9" t="n">
        <v>1.107290054820813</v>
      </c>
    </row>
    <row r="59">
      <c r="B59" s="12" t="inlineStr">
        <is>
          <t>IRR calculations are approximations. For exact IRR, use Excel XIRR function on the cash flow row above.</t>
        </is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tabColor rgb="00E67E22"/>
    <outlinePr summaryBelow="1" summaryRight="1"/>
    <pageSetUpPr fitToPage="1"/>
  </sheetPr>
  <dimension ref="B2:E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40" customWidth="1" min="2" max="2"/>
    <col width="20" customWidth="1" min="3" max="3"/>
    <col width="5" customWidth="1" min="4" max="4"/>
    <col width="40" customWidth="1" min="5" max="5"/>
  </cols>
  <sheetData>
    <row r="2">
      <c r="B2" s="1" t="inlineStr">
        <is>
          <t>TAX IMPLICATIONS &amp; DEPRECIATION</t>
        </is>
      </c>
    </row>
    <row r="3">
      <c r="B3" s="12" t="inlineStr">
        <is>
          <t>Federal and NJ state tax considerations for real estate investment</t>
        </is>
      </c>
    </row>
    <row r="5">
      <c r="B5" s="4" t="inlineStr">
        <is>
          <t>DEPRECIATION SCHEDULE</t>
        </is>
      </c>
      <c r="C5" s="5" t="n"/>
    </row>
    <row r="6">
      <c r="B6" s="6" t="inlineStr">
        <is>
          <t>Total Development Cost</t>
        </is>
      </c>
      <c r="C6" s="19" t="n">
        <v>395733600</v>
      </c>
    </row>
    <row r="7">
      <c r="B7" s="6" t="inlineStr">
        <is>
          <t>Less: Land (Non-Depreciable)</t>
        </is>
      </c>
      <c r="C7" s="19" t="n">
        <v>-25000000</v>
      </c>
    </row>
    <row r="8">
      <c r="B8" s="6" t="inlineStr">
        <is>
          <t>Depreciable Basis</t>
        </is>
      </c>
      <c r="C8" s="19" t="n">
        <v>370733600</v>
      </c>
    </row>
    <row r="10">
      <c r="B10" s="6" t="inlineStr">
        <is>
          <t>Residential Portion (85%)</t>
        </is>
      </c>
      <c r="C10" s="19" t="n">
        <v>315123560</v>
      </c>
      <c r="E10" s="12" t="inlineStr">
        <is>
          <t>27.5-year straight line</t>
        </is>
      </c>
    </row>
    <row r="11">
      <c r="B11" s="6" t="inlineStr">
        <is>
          <t>Commercial Portion (15%)</t>
        </is>
      </c>
      <c r="C11" s="19" t="n">
        <v>55610040</v>
      </c>
      <c r="E11" s="12" t="inlineStr">
        <is>
          <t>39-year straight line</t>
        </is>
      </c>
    </row>
    <row r="13">
      <c r="B13" s="6" t="inlineStr">
        <is>
          <t>Annual Residential Depreciation</t>
        </is>
      </c>
      <c r="C13" s="19" t="n">
        <v>11459039</v>
      </c>
      <c r="E13" s="12">
        <f> Res Basis / 27.5 yrs</f>
        <v/>
      </c>
    </row>
    <row r="14">
      <c r="B14" s="6" t="inlineStr">
        <is>
          <t>Annual Commercial Depreciation</t>
        </is>
      </c>
      <c r="C14" s="19" t="n">
        <v>1425898</v>
      </c>
      <c r="E14" s="12">
        <f> Comm Basis / 39 yrs</f>
        <v/>
      </c>
    </row>
    <row r="15">
      <c r="B15" s="40" t="inlineStr">
        <is>
          <t>Total Annual Depreciation</t>
        </is>
      </c>
      <c r="C15" s="38" t="n">
        <v>12884937</v>
      </c>
    </row>
    <row r="17">
      <c r="B17" s="4" t="inlineStr">
        <is>
          <t>NEWARK PILOT PROGRAM</t>
        </is>
      </c>
      <c r="C17" s="5" t="n"/>
    </row>
    <row r="18">
      <c r="B18" s="6" t="inlineStr">
        <is>
          <t>PILOT Structure</t>
        </is>
      </c>
      <c r="C18" s="28" t="inlineStr">
        <is>
          <t>% of Gross Revenue</t>
        </is>
      </c>
      <c r="E18" s="12" t="inlineStr">
        <is>
          <t>Payment In Lieu of Taxes</t>
        </is>
      </c>
    </row>
    <row r="19">
      <c r="B19" s="6" t="inlineStr">
        <is>
          <t>PILOT Rate</t>
        </is>
      </c>
      <c r="C19" s="16" t="n">
        <v>0.125</v>
      </c>
      <c r="E19" s="12" t="inlineStr">
        <is>
          <t>12.5% of gross revenue (adjustable)</t>
        </is>
      </c>
    </row>
    <row r="20">
      <c r="B20" s="6" t="inlineStr">
        <is>
          <t>PILOT Duration</t>
        </is>
      </c>
      <c r="C20" s="28" t="inlineStr">
        <is>
          <t>30 years</t>
        </is>
      </c>
      <c r="E20" s="12" t="inlineStr">
        <is>
          <t>Standard for new construction</t>
        </is>
      </c>
    </row>
    <row r="21">
      <c r="B21" s="6" t="inlineStr">
        <is>
          <t>Conventional Tax Rate (Comparison)</t>
        </is>
      </c>
      <c r="C21" s="16" t="n">
        <v>0.04</v>
      </c>
      <c r="E21" s="12" t="inlineStr">
        <is>
          <t>$4.00 per $100 assessed value</t>
        </is>
      </c>
    </row>
    <row r="23">
      <c r="B23" s="6" t="inlineStr">
        <is>
          <t>Estimated Annual PILOT (Stabilized)</t>
        </is>
      </c>
      <c r="E23" s="12" t="inlineStr">
        <is>
          <t>See Operating Pro Forma</t>
        </is>
      </c>
    </row>
    <row r="24">
      <c r="B24" s="6" t="inlineStr">
        <is>
          <t>Estimated Conventional Tax</t>
        </is>
      </c>
      <c r="E24" s="12" t="inlineStr">
        <is>
          <t>If no PILOT abatement</t>
        </is>
      </c>
    </row>
    <row r="25">
      <c r="B25" s="6" t="inlineStr">
        <is>
          <t>Annual Tax Savings from PILOT</t>
        </is>
      </c>
      <c r="E25" s="12" t="inlineStr">
        <is>
          <t>Significant NOI benefit</t>
        </is>
      </c>
    </row>
    <row r="27">
      <c r="B27" s="4" t="inlineStr">
        <is>
          <t>INTEREST DEDUCTIBILITY</t>
        </is>
      </c>
      <c r="C27" s="5" t="n"/>
    </row>
    <row r="28">
      <c r="B28" s="6" t="inlineStr">
        <is>
          <t>Annual Mortgage Interest (Est. Year 1)</t>
        </is>
      </c>
      <c r="C28" s="19" t="n">
        <v>7259388</v>
      </c>
      <c r="E28" s="12" t="inlineStr">
        <is>
          <t>Approximately 6% x loan balance (declining over time)</t>
        </is>
      </c>
    </row>
    <row r="29">
      <c r="B29" s="12" t="inlineStr">
        <is>
          <t>Interest expense is deductible against taxable income, reducing tax liability</t>
        </is>
      </c>
    </row>
    <row r="31">
      <c r="B31" s="4" t="inlineStr">
        <is>
          <t>DISPOSITION TAX ESTIMATES</t>
        </is>
      </c>
      <c r="C31" s="5" t="n"/>
    </row>
    <row r="32">
      <c r="B32" s="6" t="inlineStr">
        <is>
          <t>NJ Realty Transfer Fee</t>
        </is>
      </c>
      <c r="C32" s="28" t="inlineStr">
        <is>
          <t>~4.1%</t>
        </is>
      </c>
      <c r="E32" s="12" t="inlineStr">
        <is>
          <t>Graduated fee + mansion tax for $200M+ sale</t>
        </is>
      </c>
    </row>
    <row r="33">
      <c r="B33" s="6" t="inlineStr">
        <is>
          <t>Federal Capital Gains Rate</t>
        </is>
      </c>
      <c r="C33" s="28" t="inlineStr">
        <is>
          <t>20%</t>
        </is>
      </c>
      <c r="E33" s="12" t="inlineStr">
        <is>
          <t>Long-term capital gains (&gt;1 year hold)</t>
        </is>
      </c>
    </row>
    <row r="34">
      <c r="B34" s="6" t="inlineStr">
        <is>
          <t>NJ State Income Tax Rate</t>
        </is>
      </c>
      <c r="C34" s="28" t="inlineStr">
        <is>
          <t>10.75%</t>
        </is>
      </c>
      <c r="E34" s="12" t="inlineStr">
        <is>
          <t>Top marginal rate</t>
        </is>
      </c>
    </row>
    <row r="35">
      <c r="B35" s="6" t="inlineStr">
        <is>
          <t>Depreciation Recapture Rate</t>
        </is>
      </c>
      <c r="C35" s="28" t="inlineStr">
        <is>
          <t>25%</t>
        </is>
      </c>
      <c r="E35" s="12" t="inlineStr">
        <is>
          <t>Federal recapture on accumulated depreciation</t>
        </is>
      </c>
    </row>
    <row r="36">
      <c r="B36" s="6" t="inlineStr">
        <is>
          <t>Net Investment Income Tax</t>
        </is>
      </c>
      <c r="C36" s="28" t="inlineStr">
        <is>
          <t>3.8%</t>
        </is>
      </c>
      <c r="E36" s="12" t="inlineStr">
        <is>
          <t>Additional Medicare surtax</t>
        </is>
      </c>
    </row>
    <row r="37">
      <c r="B37" s="6" t="inlineStr">
        <is>
          <t>1031 Exchange Eligibility</t>
        </is>
      </c>
      <c r="C37" s="28" t="inlineStr">
        <is>
          <t>Available</t>
        </is>
      </c>
      <c r="E37" s="12" t="inlineStr">
        <is>
          <t>Tax deferral if reinvested in like-kind property</t>
        </is>
      </c>
    </row>
    <row r="38">
      <c r="B38" s="6" t="inlineStr">
        <is>
          <t>Opportunity Zone Benefits</t>
        </is>
      </c>
      <c r="C38" s="28" t="inlineStr">
        <is>
          <t>To Be Evaluated</t>
        </is>
      </c>
      <c r="E38" s="12" t="inlineStr">
        <is>
          <t>If applicable to Newark OZ designation</t>
        </is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tabColor rgb="00C0392B"/>
    <outlinePr summaryBelow="1" summaryRight="1"/>
    <pageSetUpPr fitToPage="1"/>
  </sheetPr>
  <dimension ref="B2:I5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5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2">
      <c r="B2" s="1" t="inlineStr">
        <is>
          <t>SENSITIVITY ANALYSIS</t>
        </is>
      </c>
    </row>
    <row r="3">
      <c r="B3" s="12" t="inlineStr">
        <is>
          <t>Impact of key variable changes on project returns. All tables are independent scenarios.</t>
        </is>
      </c>
    </row>
    <row r="5">
      <c r="B5" s="4" t="inlineStr">
        <is>
          <t>YIELD ON COST: Rent Change vs. Construction Cost Change</t>
        </is>
      </c>
      <c r="C5" s="5" t="n"/>
      <c r="D5" s="5" t="n"/>
      <c r="E5" s="5" t="n"/>
      <c r="F5" s="5" t="n"/>
      <c r="G5" s="5" t="n"/>
      <c r="H5" s="5" t="n"/>
      <c r="I5" s="5" t="n"/>
    </row>
    <row r="6">
      <c r="B6" s="12" t="inlineStr">
        <is>
          <t>Values show Stabilized Yield on Cost under each scenario</t>
        </is>
      </c>
    </row>
    <row r="7">
      <c r="B7" s="18" t="inlineStr">
        <is>
          <t>Rent \ Cost</t>
        </is>
      </c>
      <c r="C7" s="18" t="inlineStr">
        <is>
          <t>-10%</t>
        </is>
      </c>
      <c r="D7" s="18" t="inlineStr">
        <is>
          <t>-5%</t>
        </is>
      </c>
      <c r="E7" s="18" t="inlineStr">
        <is>
          <t>Base</t>
        </is>
      </c>
      <c r="F7" s="18" t="inlineStr">
        <is>
          <t>+5%</t>
        </is>
      </c>
      <c r="G7" s="18" t="inlineStr">
        <is>
          <t>+10%</t>
        </is>
      </c>
      <c r="H7" s="18" t="inlineStr">
        <is>
          <t>+15%</t>
        </is>
      </c>
    </row>
    <row r="8">
      <c r="B8" s="43" t="inlineStr">
        <is>
          <t>-10%</t>
        </is>
      </c>
      <c r="C8" s="37" t="n">
        <v>0.02749558036012105</v>
      </c>
      <c r="D8" s="37" t="n">
        <v>0.02604844455169363</v>
      </c>
      <c r="E8" s="37" t="n">
        <v>0.02474602232410895</v>
      </c>
      <c r="F8" s="37" t="n">
        <v>0.02356764030867519</v>
      </c>
      <c r="G8" s="37" t="n">
        <v>0.02249638393100813</v>
      </c>
      <c r="H8" s="37" t="n">
        <v>0.02151828028183387</v>
      </c>
    </row>
    <row r="9">
      <c r="B9" s="43" t="inlineStr">
        <is>
          <t>-5%</t>
        </is>
      </c>
      <c r="C9" s="37" t="n">
        <v>0.02902311260235</v>
      </c>
      <c r="D9" s="37" t="n">
        <v>0.02749558036012105</v>
      </c>
      <c r="E9" s="37" t="n">
        <v>0.026120801342115</v>
      </c>
      <c r="F9" s="37" t="n">
        <v>0.02487695365915714</v>
      </c>
      <c r="G9" s="37" t="n">
        <v>0.02374618303828636</v>
      </c>
      <c r="H9" s="37" t="n">
        <v>0.02271374029749131</v>
      </c>
    </row>
    <row r="10">
      <c r="B10" s="43" t="inlineStr">
        <is>
          <t>Base</t>
        </is>
      </c>
      <c r="C10" s="37" t="n">
        <v>0.03055064484457895</v>
      </c>
      <c r="D10" s="37" t="n">
        <v>0.02894271616854847</v>
      </c>
      <c r="E10" s="44" t="n">
        <v>0.02749558036012105</v>
      </c>
      <c r="F10" s="37" t="n">
        <v>0.0261862670096391</v>
      </c>
      <c r="G10" s="37" t="n">
        <v>0.02499598214556459</v>
      </c>
      <c r="H10" s="37" t="n">
        <v>0.02390920031314874</v>
      </c>
    </row>
    <row r="11">
      <c r="B11" s="43" t="inlineStr">
        <is>
          <t>+5%</t>
        </is>
      </c>
      <c r="C11" s="37" t="n">
        <v>0.03207817708680789</v>
      </c>
      <c r="D11" s="37" t="n">
        <v>0.0303898519769759</v>
      </c>
      <c r="E11" s="37" t="n">
        <v>0.0288703593781271</v>
      </c>
      <c r="F11" s="37" t="n">
        <v>0.02749558036012105</v>
      </c>
      <c r="G11" s="37" t="n">
        <v>0.02624578125284282</v>
      </c>
      <c r="H11" s="37" t="n">
        <v>0.02510466032880618</v>
      </c>
    </row>
    <row r="12">
      <c r="B12" s="43" t="inlineStr">
        <is>
          <t>+10%</t>
        </is>
      </c>
      <c r="C12" s="37" t="n">
        <v>0.03360570932903684</v>
      </c>
      <c r="D12" s="37" t="n">
        <v>0.03183698778540333</v>
      </c>
      <c r="E12" s="37" t="n">
        <v>0.03024513839613316</v>
      </c>
      <c r="F12" s="37" t="n">
        <v>0.02880489371060301</v>
      </c>
      <c r="G12" s="37" t="n">
        <v>0.02749558036012105</v>
      </c>
      <c r="H12" s="37" t="n">
        <v>0.02630012034446362</v>
      </c>
    </row>
    <row r="13">
      <c r="B13" s="43" t="inlineStr">
        <is>
          <t>+15%</t>
        </is>
      </c>
      <c r="C13" s="37" t="n">
        <v>0.03513324157126578</v>
      </c>
      <c r="D13" s="37" t="n">
        <v>0.03328412359383074</v>
      </c>
      <c r="E13" s="37" t="n">
        <v>0.03161991741413921</v>
      </c>
      <c r="F13" s="37" t="n">
        <v>0.03011420706108496</v>
      </c>
      <c r="G13" s="37" t="n">
        <v>0.02874537946739927</v>
      </c>
      <c r="H13" s="37" t="n">
        <v>0.02749558036012105</v>
      </c>
    </row>
    <row r="16">
      <c r="B16" s="4" t="inlineStr">
        <is>
          <t>PROPERTY VALUE ($M): Exit Cap Rate vs. NOI Change</t>
        </is>
      </c>
      <c r="C16" s="5" t="n"/>
      <c r="D16" s="5" t="n"/>
      <c r="E16" s="5" t="n"/>
      <c r="F16" s="5" t="n"/>
      <c r="G16" s="5" t="n"/>
      <c r="H16" s="5" t="n"/>
      <c r="I16" s="5" t="n"/>
    </row>
    <row r="17">
      <c r="B17" s="12" t="inlineStr">
        <is>
          <t>Values show estimated property value in millions</t>
        </is>
      </c>
    </row>
    <row r="18">
      <c r="B18" s="18" t="inlineStr">
        <is>
          <t>Cap \ NOI</t>
        </is>
      </c>
      <c r="C18" s="18" t="inlineStr">
        <is>
          <t>-10%</t>
        </is>
      </c>
      <c r="D18" s="18" t="inlineStr">
        <is>
          <t>-5%</t>
        </is>
      </c>
      <c r="E18" s="18" t="inlineStr">
        <is>
          <t>Base</t>
        </is>
      </c>
      <c r="F18" s="18" t="inlineStr">
        <is>
          <t>+5%</t>
        </is>
      </c>
      <c r="G18" s="18" t="inlineStr">
        <is>
          <t>+10%</t>
        </is>
      </c>
    </row>
    <row r="19">
      <c r="B19" s="45" t="n">
        <v>0.04</v>
      </c>
      <c r="C19" s="46" t="n">
        <v>244.8208125</v>
      </c>
      <c r="D19" s="46" t="n">
        <v>258.42196875</v>
      </c>
      <c r="E19" s="46" t="n">
        <v>272.023125</v>
      </c>
      <c r="F19" s="46" t="n">
        <v>285.62428125</v>
      </c>
      <c r="G19" s="46" t="n">
        <v>299.2254375000001</v>
      </c>
    </row>
    <row r="20">
      <c r="B20" s="45" t="n">
        <v>0.0425</v>
      </c>
      <c r="C20" s="46" t="n">
        <v>230.4195882352941</v>
      </c>
      <c r="D20" s="46" t="n">
        <v>243.2206764705882</v>
      </c>
      <c r="E20" s="46" t="n">
        <v>256.0217647058823</v>
      </c>
      <c r="F20" s="46" t="n">
        <v>268.8228529411764</v>
      </c>
      <c r="G20" s="46" t="n">
        <v>281.6239411764706</v>
      </c>
    </row>
    <row r="21">
      <c r="B21" s="45" t="n">
        <v>0.045</v>
      </c>
      <c r="C21" s="46" t="n">
        <v>217.6185</v>
      </c>
      <c r="D21" s="46" t="n">
        <v>229.7084166666667</v>
      </c>
      <c r="E21" s="46" t="n">
        <v>241.7983333333333</v>
      </c>
      <c r="F21" s="46" t="n">
        <v>253.88825</v>
      </c>
      <c r="G21" s="46" t="n">
        <v>265.9781666666667</v>
      </c>
    </row>
    <row r="22">
      <c r="B22" s="45" t="n">
        <v>0.0475</v>
      </c>
      <c r="C22" s="46" t="n">
        <v>206.1648947368421</v>
      </c>
      <c r="D22" s="46" t="n">
        <v>217.6185</v>
      </c>
      <c r="E22" s="46" t="n">
        <v>229.0721052631579</v>
      </c>
      <c r="F22" s="46" t="n">
        <v>240.5257105263158</v>
      </c>
      <c r="G22" s="46" t="n">
        <v>251.9793157894737</v>
      </c>
    </row>
    <row r="23">
      <c r="B23" s="45" t="n">
        <v>0.05</v>
      </c>
      <c r="C23" s="46" t="n">
        <v>195.85665</v>
      </c>
      <c r="D23" s="46" t="n">
        <v>206.737575</v>
      </c>
      <c r="E23" s="47" t="n">
        <v>217.6185</v>
      </c>
      <c r="F23" s="46" t="n">
        <v>228.499425</v>
      </c>
      <c r="G23" s="46" t="n">
        <v>239.38035</v>
      </c>
    </row>
    <row r="24">
      <c r="B24" s="45" t="n">
        <v>0.0525</v>
      </c>
      <c r="C24" s="46" t="n">
        <v>186.5301428571429</v>
      </c>
      <c r="D24" s="46" t="n">
        <v>196.8929285714286</v>
      </c>
      <c r="E24" s="46" t="n">
        <v>207.2557142857143</v>
      </c>
      <c r="F24" s="46" t="n">
        <v>217.6185</v>
      </c>
      <c r="G24" s="46" t="n">
        <v>227.9812857142858</v>
      </c>
    </row>
    <row r="25">
      <c r="B25" s="45" t="n">
        <v>0.055</v>
      </c>
      <c r="C25" s="46" t="n">
        <v>178.0515</v>
      </c>
      <c r="D25" s="46" t="n">
        <v>187.94325</v>
      </c>
      <c r="E25" s="46" t="n">
        <v>197.835</v>
      </c>
      <c r="F25" s="46" t="n">
        <v>207.72675</v>
      </c>
      <c r="G25" s="46" t="n">
        <v>217.6185</v>
      </c>
    </row>
    <row r="28">
      <c r="B28" s="4" t="inlineStr">
        <is>
          <t>NOI SENSITIVITY: Vacancy Rate vs. OpEx Growth</t>
        </is>
      </c>
      <c r="C28" s="5" t="n"/>
      <c r="D28" s="5" t="n"/>
      <c r="E28" s="5" t="n"/>
      <c r="F28" s="5" t="n"/>
      <c r="G28" s="5" t="n"/>
      <c r="H28" s="5" t="n"/>
      <c r="I28" s="5" t="n"/>
    </row>
    <row r="29">
      <c r="B29" s="18" t="inlineStr">
        <is>
          <t>Vac \ OpEx</t>
        </is>
      </c>
      <c r="C29" s="18" t="inlineStr">
        <is>
          <t>-5%</t>
        </is>
      </c>
      <c r="D29" s="18" t="inlineStr">
        <is>
          <t>Base</t>
        </is>
      </c>
      <c r="E29" s="18" t="inlineStr">
        <is>
          <t>+5%</t>
        </is>
      </c>
      <c r="F29" s="18" t="inlineStr">
        <is>
          <t>+10%</t>
        </is>
      </c>
      <c r="G29" s="18" t="inlineStr">
        <is>
          <t>+15%</t>
        </is>
      </c>
    </row>
    <row r="30">
      <c r="B30" s="43" t="inlineStr">
        <is>
          <t>3%</t>
        </is>
      </c>
      <c r="C30" s="19" t="n">
        <v>11542485</v>
      </c>
      <c r="D30" s="19" t="n">
        <v>11316162</v>
      </c>
      <c r="E30" s="19" t="n">
        <v>11089839</v>
      </c>
      <c r="F30" s="19" t="n">
        <v>10863516</v>
      </c>
      <c r="G30" s="19" t="n">
        <v>10637192</v>
      </c>
    </row>
    <row r="31">
      <c r="B31" s="43" t="inlineStr">
        <is>
          <t>5%</t>
        </is>
      </c>
      <c r="C31" s="19" t="n">
        <v>11098544</v>
      </c>
      <c r="D31" s="19" t="n">
        <v>10880925</v>
      </c>
      <c r="E31" s="19" t="n">
        <v>10663306</v>
      </c>
      <c r="F31" s="19" t="n">
        <v>10445688</v>
      </c>
      <c r="G31" s="19" t="n">
        <v>10228070</v>
      </c>
    </row>
    <row r="32">
      <c r="B32" s="43" t="inlineStr">
        <is>
          <t>7%</t>
        </is>
      </c>
      <c r="C32" s="19" t="n">
        <v>10654602</v>
      </c>
      <c r="D32" s="19" t="n">
        <v>10445688</v>
      </c>
      <c r="E32" s="19" t="n">
        <v>10236774</v>
      </c>
      <c r="F32" s="19" t="n">
        <v>10027860</v>
      </c>
      <c r="G32" s="19" t="n">
        <v>9818947</v>
      </c>
    </row>
    <row r="33">
      <c r="B33" s="43" t="inlineStr">
        <is>
          <t>10%</t>
        </is>
      </c>
      <c r="C33" s="19" t="n">
        <v>9988689</v>
      </c>
      <c r="D33" s="19" t="n">
        <v>9792832</v>
      </c>
      <c r="E33" s="19" t="n">
        <v>9596976</v>
      </c>
      <c r="F33" s="19" t="n">
        <v>9401119</v>
      </c>
      <c r="G33" s="19" t="n">
        <v>9205263</v>
      </c>
    </row>
    <row r="34">
      <c r="B34" s="43" t="inlineStr">
        <is>
          <t>12%</t>
        </is>
      </c>
      <c r="C34" s="19" t="n">
        <v>9544747</v>
      </c>
      <c r="D34" s="19" t="n">
        <v>9357596</v>
      </c>
      <c r="E34" s="19" t="n">
        <v>9170444</v>
      </c>
      <c r="F34" s="19" t="n">
        <v>8983292</v>
      </c>
      <c r="G34" s="19" t="n">
        <v>8796140</v>
      </c>
    </row>
    <row r="35">
      <c r="B35" s="43" t="inlineStr">
        <is>
          <t>15%</t>
        </is>
      </c>
      <c r="C35" s="19" t="n">
        <v>8878835</v>
      </c>
      <c r="D35" s="19" t="n">
        <v>8704740</v>
      </c>
      <c r="E35" s="19" t="n">
        <v>8530645</v>
      </c>
      <c r="F35" s="19" t="n">
        <v>8356550</v>
      </c>
      <c r="G35" s="19" t="n">
        <v>8182456</v>
      </c>
    </row>
    <row r="38">
      <c r="B38" s="4" t="inlineStr">
        <is>
          <t>DEBT SERVICE: Permanent Loan Rate Sensitivity</t>
        </is>
      </c>
      <c r="C38" s="5" t="n"/>
      <c r="D38" s="5" t="n"/>
      <c r="E38" s="5" t="n"/>
      <c r="F38" s="5" t="n"/>
      <c r="G38" s="5" t="n"/>
      <c r="H38" s="5" t="n"/>
      <c r="I38" s="5" t="n"/>
    </row>
    <row r="39">
      <c r="B39" s="12" t="inlineStr">
        <is>
          <t>Impact on annual debt service and DSCR at various interest rates</t>
        </is>
      </c>
    </row>
    <row r="40">
      <c r="B40" s="18" t="inlineStr">
        <is>
          <t>Perm Rate</t>
        </is>
      </c>
      <c r="C40" s="18" t="inlineStr">
        <is>
          <t>Loan Amount</t>
        </is>
      </c>
      <c r="D40" s="18" t="inlineStr">
        <is>
          <t>Annual DS</t>
        </is>
      </c>
      <c r="E40" s="18" t="inlineStr">
        <is>
          <t>DSCR</t>
        </is>
      </c>
      <c r="F40" s="18" t="inlineStr">
        <is>
          <t>Monthly DS</t>
        </is>
      </c>
      <c r="G40" s="18" t="inlineStr">
        <is>
          <t>Excess CF (over DS)</t>
        </is>
      </c>
    </row>
    <row r="41">
      <c r="B41" s="37" t="n">
        <v>0.045</v>
      </c>
      <c r="C41" s="19" t="n">
        <v>143164798</v>
      </c>
      <c r="D41" s="19" t="n">
        <v>8704740</v>
      </c>
      <c r="E41" s="24" t="n">
        <v>1.25</v>
      </c>
      <c r="F41" s="19" t="n">
        <v>725395</v>
      </c>
      <c r="G41" s="19" t="n">
        <v>2176185</v>
      </c>
    </row>
    <row r="42">
      <c r="B42" s="37" t="n">
        <v>0.05</v>
      </c>
      <c r="C42" s="19" t="n">
        <v>135127754</v>
      </c>
      <c r="D42" s="19" t="n">
        <v>8704740</v>
      </c>
      <c r="E42" s="24" t="n">
        <v>1.25</v>
      </c>
      <c r="F42" s="19" t="n">
        <v>725395</v>
      </c>
      <c r="G42" s="19" t="n">
        <v>2176185</v>
      </c>
    </row>
    <row r="43">
      <c r="B43" s="37" t="n">
        <v>0.055</v>
      </c>
      <c r="C43" s="19" t="n">
        <v>127757846</v>
      </c>
      <c r="D43" s="19" t="n">
        <v>8704740</v>
      </c>
      <c r="E43" s="24" t="n">
        <v>1.25</v>
      </c>
      <c r="F43" s="19" t="n">
        <v>725395</v>
      </c>
      <c r="G43" s="19" t="n">
        <v>2176185</v>
      </c>
    </row>
    <row r="44">
      <c r="B44" s="44" t="n">
        <v>0.06</v>
      </c>
      <c r="C44" s="48" t="n">
        <v>120989803</v>
      </c>
      <c r="D44" s="48" t="n">
        <v>8704740</v>
      </c>
      <c r="E44" s="49" t="n">
        <v>1.25</v>
      </c>
      <c r="F44" s="48" t="n">
        <v>725395</v>
      </c>
      <c r="G44" s="48" t="n">
        <v>2176185</v>
      </c>
    </row>
    <row r="45">
      <c r="B45" s="37" t="n">
        <v>0.065</v>
      </c>
      <c r="C45" s="19" t="n">
        <v>114765337</v>
      </c>
      <c r="D45" s="19" t="n">
        <v>8704740</v>
      </c>
      <c r="E45" s="24" t="n">
        <v>1.25</v>
      </c>
      <c r="F45" s="19" t="n">
        <v>725395</v>
      </c>
      <c r="G45" s="19" t="n">
        <v>2176185</v>
      </c>
    </row>
    <row r="46">
      <c r="B46" s="37" t="n">
        <v>0.07000000000000001</v>
      </c>
      <c r="C46" s="19" t="n">
        <v>109032358</v>
      </c>
      <c r="D46" s="19" t="n">
        <v>8704740</v>
      </c>
      <c r="E46" s="24" t="n">
        <v>1.25</v>
      </c>
      <c r="F46" s="19" t="n">
        <v>725395</v>
      </c>
      <c r="G46" s="19" t="n">
        <v>2176185</v>
      </c>
    </row>
    <row r="47">
      <c r="B47" s="37" t="n">
        <v>0.075</v>
      </c>
      <c r="C47" s="19" t="n">
        <v>103744272</v>
      </c>
      <c r="D47" s="19" t="n">
        <v>8704740</v>
      </c>
      <c r="E47" s="24" t="n">
        <v>1.25</v>
      </c>
      <c r="F47" s="19" t="n">
        <v>725395</v>
      </c>
      <c r="G47" s="19" t="n">
        <v>2176185</v>
      </c>
    </row>
    <row r="48">
      <c r="B48" s="37" t="n">
        <v>0.08</v>
      </c>
      <c r="C48" s="19" t="n">
        <v>98859365</v>
      </c>
      <c r="D48" s="19" t="n">
        <v>8704740</v>
      </c>
      <c r="E48" s="24" t="n">
        <v>1.25</v>
      </c>
      <c r="F48" s="19" t="n">
        <v>725395</v>
      </c>
      <c r="G48" s="19" t="n">
        <v>2176185</v>
      </c>
    </row>
    <row r="51">
      <c r="B51" s="4" t="inlineStr">
        <is>
          <t>EQUITY SPLIT SENSITIVITY: GP Share Impact on Returns</t>
        </is>
      </c>
      <c r="C51" s="5" t="n"/>
      <c r="D51" s="5" t="n"/>
      <c r="E51" s="5" t="n"/>
      <c r="F51" s="5" t="n"/>
      <c r="G51" s="5" t="n"/>
      <c r="H51" s="5" t="n"/>
      <c r="I51" s="5" t="n"/>
    </row>
    <row r="52">
      <c r="B52" s="18" t="inlineStr">
        <is>
          <t>GP %</t>
        </is>
      </c>
      <c r="C52" s="18" t="inlineStr">
        <is>
          <t>LP %</t>
        </is>
      </c>
      <c r="D52" s="18" t="inlineStr">
        <is>
          <t>GP Equity</t>
        </is>
      </c>
      <c r="E52" s="18" t="inlineStr">
        <is>
          <t>LP Equity</t>
        </is>
      </c>
      <c r="F52" s="18" t="inlineStr">
        <is>
          <t>GP Cash Flow (Yr3)</t>
        </is>
      </c>
      <c r="G52" s="18" t="inlineStr">
        <is>
          <t>LP Cash Flow (Yr3)</t>
        </is>
      </c>
    </row>
    <row r="53">
      <c r="B53" s="23" t="n">
        <v>0.05</v>
      </c>
      <c r="C53" s="23" t="n">
        <v>0.95</v>
      </c>
      <c r="D53" s="19" t="n">
        <v>9777190</v>
      </c>
      <c r="E53" s="19" t="n">
        <v>185766607</v>
      </c>
      <c r="F53" s="19" t="n">
        <v>115338</v>
      </c>
      <c r="G53" s="19" t="n">
        <v>4498174</v>
      </c>
    </row>
    <row r="54">
      <c r="B54" s="23" t="n">
        <v>0.1</v>
      </c>
      <c r="C54" s="23" t="n">
        <v>0.9</v>
      </c>
      <c r="D54" s="19" t="n">
        <v>19554380</v>
      </c>
      <c r="E54" s="19" t="n">
        <v>175989417</v>
      </c>
      <c r="F54" s="19" t="n">
        <v>230676</v>
      </c>
      <c r="G54" s="19" t="n">
        <v>4382836</v>
      </c>
    </row>
    <row r="55">
      <c r="B55" s="23" t="n">
        <v>0.2</v>
      </c>
      <c r="C55" s="23" t="n">
        <v>0.8</v>
      </c>
      <c r="D55" s="19" t="n">
        <v>39108759</v>
      </c>
      <c r="E55" s="19" t="n">
        <v>156435038</v>
      </c>
      <c r="F55" s="19" t="n">
        <v>461351</v>
      </c>
      <c r="G55" s="19" t="n">
        <v>4152161</v>
      </c>
    </row>
    <row r="56">
      <c r="B56" s="23" t="n">
        <v>0.3</v>
      </c>
      <c r="C56" s="23" t="n">
        <v>0.7</v>
      </c>
      <c r="D56" s="19" t="n">
        <v>58663139</v>
      </c>
      <c r="E56" s="19" t="n">
        <v>136880658</v>
      </c>
      <c r="F56" s="19" t="n">
        <v>692027</v>
      </c>
      <c r="G56" s="19" t="n">
        <v>3921485</v>
      </c>
    </row>
    <row r="57">
      <c r="B57" s="23" t="n">
        <v>0.4</v>
      </c>
      <c r="C57" s="23" t="n">
        <v>0.6</v>
      </c>
      <c r="D57" s="19" t="n">
        <v>78217519</v>
      </c>
      <c r="E57" s="19" t="n">
        <v>117326278</v>
      </c>
      <c r="F57" s="19" t="n">
        <v>922702</v>
      </c>
      <c r="G57" s="19" t="n">
        <v>3690810</v>
      </c>
    </row>
    <row r="58">
      <c r="B58" s="50" t="n">
        <v>0.5</v>
      </c>
      <c r="C58" s="50" t="n">
        <v>0.5</v>
      </c>
      <c r="D58" s="48" t="n">
        <v>97771898</v>
      </c>
      <c r="E58" s="48" t="n">
        <v>97771898</v>
      </c>
      <c r="F58" s="48" t="n">
        <v>1153378</v>
      </c>
      <c r="G58" s="48" t="n">
        <v>3460134</v>
      </c>
    </row>
    <row r="59">
      <c r="B59" s="23" t="n">
        <v>0.6</v>
      </c>
      <c r="C59" s="23" t="n">
        <v>0.4</v>
      </c>
      <c r="D59" s="19" t="n">
        <v>117326278</v>
      </c>
      <c r="E59" s="19" t="n">
        <v>78217519</v>
      </c>
      <c r="F59" s="19" t="n">
        <v>1384054</v>
      </c>
      <c r="G59" s="19" t="n">
        <v>3229458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2026-04-03T16:38:40Z</dcterms:created>
  <dcterms:modified xsi:type="dcterms:W3CDTF">2026-04-03T16:38:40Z</dcterms:modified>
</cp:coreProperties>
</file>